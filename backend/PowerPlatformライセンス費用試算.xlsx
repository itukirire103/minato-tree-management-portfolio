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ライセンス費用試算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Noto Sans CJK SC"/>
            <family val="2"/>
          </rPr>
          <t xml:space="preserve">仕様書：利用者数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Noto Sans CJK SC"/>
            <family val="2"/>
          </rPr>
          <t xml:space="preserve">名程度、同時利用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名想定</t>
        </r>
      </text>
    </comment>
    <comment ref="B6" authorId="0">
      <text>
        <r>
          <rPr>
            <sz val="10"/>
            <rFont val="Noto Sans CJK SC"/>
            <family val="2"/>
          </rPr>
          <t xml:space="preserve">仮定値。委託業者は月次で使わない月もあると想定し</t>
        </r>
        <r>
          <rPr>
            <sz val="10"/>
            <rFont val="Arial"/>
            <family val="2"/>
          </rPr>
          <t xml:space="preserve">70%</t>
        </r>
        <r>
          <rPr>
            <sz val="10"/>
            <rFont val="Noto Sans CJK SC"/>
            <family val="2"/>
          </rPr>
          <t xml:space="preserve">とした。実態に応じて調整</t>
        </r>
      </text>
    </comment>
    <comment ref="B7" authorId="0">
      <text>
        <r>
          <rPr>
            <sz val="10"/>
            <rFont val="Arial"/>
            <family val="2"/>
          </rPr>
          <t xml:space="preserve">2026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8</t>
        </r>
        <r>
          <rPr>
            <sz val="10"/>
            <rFont val="Noto Sans CJK SC"/>
            <family val="2"/>
          </rPr>
          <t xml:space="preserve">月時点の目安。契約時のレートで再計算すること</t>
        </r>
      </text>
    </comment>
    <comment ref="B8" authorId="0">
      <text>
        <r>
          <rPr>
            <sz val="10"/>
            <rFont val="Noto Sans CJK SC"/>
            <family val="2"/>
          </rPr>
          <t xml:space="preserve">試算根拠：樹木</t>
        </r>
        <r>
          <rPr>
            <sz val="10"/>
            <rFont val="Arial"/>
            <family val="2"/>
          </rPr>
          <t xml:space="preserve">5,200</t>
        </r>
        <r>
          <rPr>
            <sz val="10"/>
            <rFont val="Noto Sans CJK SC"/>
            <family val="2"/>
          </rPr>
          <t xml:space="preserve">本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Noto Sans CJK SC"/>
            <family val="2"/>
          </rPr>
          <t xml:space="preserve">平均</t>
        </r>
        <r>
          <rPr>
            <sz val="10"/>
            <rFont val="Arial"/>
            <family val="2"/>
          </rPr>
          <t xml:space="preserve">4</t>
        </r>
        <r>
          <rPr>
            <sz val="10"/>
            <rFont val="Noto Sans CJK SC"/>
            <family val="2"/>
          </rPr>
          <t xml:space="preserve">枚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Noto Sans CJK SC"/>
            <family val="2"/>
          </rPr>
          <t xml:space="preserve">約</t>
        </r>
        <r>
          <rPr>
            <sz val="10"/>
            <rFont val="Arial"/>
            <family val="2"/>
          </rPr>
          <t xml:space="preserve">3MB(</t>
        </r>
        <r>
          <rPr>
            <sz val="10"/>
            <rFont val="Noto Sans CJK SC"/>
            <family val="2"/>
          </rPr>
          <t xml:space="preserve">写真</t>
        </r>
        <r>
          <rPr>
            <sz val="10"/>
            <rFont val="Arial"/>
            <family val="2"/>
          </rPr>
          <t xml:space="preserve">)+</t>
        </r>
        <r>
          <rPr>
            <sz val="10"/>
            <rFont val="Noto Sans CJK SC"/>
            <family val="2"/>
          </rPr>
          <t xml:space="preserve">診断カルテ</t>
        </r>
        <r>
          <rPr>
            <sz val="10"/>
            <rFont val="Arial"/>
            <family val="2"/>
          </rPr>
          <t xml:space="preserve">PDF</t>
        </r>
        <r>
          <rPr>
            <sz val="10"/>
            <rFont val="Noto Sans CJK SC"/>
            <family val="2"/>
          </rPr>
          <t xml:space="preserve">約</t>
        </r>
        <r>
          <rPr>
            <sz val="10"/>
            <rFont val="Arial"/>
            <family val="2"/>
          </rPr>
          <t xml:space="preserve">5,200</t>
        </r>
        <r>
          <rPr>
            <sz val="10"/>
            <rFont val="Noto Sans CJK SC"/>
            <family val="2"/>
          </rPr>
          <t xml:space="preserve">件</t>
        </r>
        <r>
          <rPr>
            <sz val="10"/>
            <rFont val="Arial"/>
            <family val="2"/>
          </rPr>
          <t xml:space="preserve">×1.5MB ≒ </t>
        </r>
        <r>
          <rPr>
            <sz val="10"/>
            <rFont val="Noto Sans CJK SC"/>
            <family val="2"/>
          </rPr>
          <t xml:space="preserve">約</t>
        </r>
        <r>
          <rPr>
            <sz val="10"/>
            <rFont val="Arial"/>
            <family val="2"/>
          </rPr>
          <t xml:space="preserve">70GB</t>
        </r>
        <r>
          <rPr>
            <sz val="10"/>
            <rFont val="Noto Sans CJK SC"/>
            <family val="2"/>
          </rPr>
          <t xml:space="preserve">。運用開始後の増分バッファ含め</t>
        </r>
        <r>
          <rPr>
            <sz val="10"/>
            <rFont val="Arial"/>
            <family val="2"/>
          </rPr>
          <t xml:space="preserve">80GB</t>
        </r>
        <r>
          <rPr>
            <sz val="10"/>
            <rFont val="Noto Sans CJK SC"/>
            <family val="2"/>
          </rPr>
          <t xml:space="preserve">と仮定。要検証</t>
        </r>
      </text>
    </comment>
    <comment ref="B9" authorId="0">
      <text>
        <r>
          <rPr>
            <sz val="10"/>
            <rFont val="Noto Sans CJK SC"/>
            <family val="2"/>
          </rPr>
          <t xml:space="preserve">樹木台帳・作業履歴等の構造化レコードは軽量。</t>
        </r>
        <r>
          <rPr>
            <sz val="10"/>
            <rFont val="Arial"/>
            <family val="2"/>
          </rPr>
          <t xml:space="preserve">5,200</t>
        </r>
        <r>
          <rPr>
            <sz val="10"/>
            <rFont val="Noto Sans CJK SC"/>
            <family val="2"/>
          </rPr>
          <t xml:space="preserve">本</t>
        </r>
        <r>
          <rPr>
            <sz val="10"/>
            <rFont val="Arial"/>
            <family val="2"/>
          </rPr>
          <t xml:space="preserve">×</t>
        </r>
        <r>
          <rPr>
            <sz val="10"/>
            <rFont val="Noto Sans CJK SC"/>
            <family val="2"/>
          </rPr>
          <t xml:space="preserve">履歴含めても数</t>
        </r>
        <r>
          <rPr>
            <sz val="10"/>
            <rFont val="Arial"/>
            <family val="2"/>
          </rPr>
          <t xml:space="preserve">GB</t>
        </r>
        <r>
          <rPr>
            <sz val="10"/>
            <rFont val="Noto Sans CJK SC"/>
            <family val="2"/>
          </rPr>
          <t xml:space="preserve">程度と想定</t>
        </r>
      </text>
    </comment>
    <comment ref="B10" authorId="0">
      <text>
        <r>
          <rPr>
            <sz val="10"/>
            <rFont val="Arial"/>
            <family val="2"/>
          </rPr>
          <t xml:space="preserve">Premium</t>
        </r>
        <r>
          <rPr>
            <sz val="10"/>
            <rFont val="Noto Sans CJK SC"/>
            <family val="2"/>
          </rPr>
          <t xml:space="preserve">プラン内のアプリ内蔵フローで完結するなら</t>
        </r>
        <r>
          <rPr>
            <sz val="10"/>
            <rFont val="Arial"/>
            <family val="2"/>
          </rPr>
          <t xml:space="preserve">0</t>
        </r>
        <r>
          <rPr>
            <sz val="10"/>
            <rFont val="Noto Sans CJK SC"/>
            <family val="2"/>
          </rPr>
          <t xml:space="preserve">。バックグラウンド定期フロー等を組む場合は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にして下記の追加費用を計上</t>
        </r>
      </text>
    </comment>
    <comment ref="B11" authorId="0">
      <text>
        <r>
          <rPr>
            <sz val="10"/>
            <rFont val="Noto Sans CJK SC"/>
            <family val="2"/>
          </rPr>
          <t xml:space="preserve">組織全体で数本のフローを共有する場合の目安。</t>
        </r>
        <r>
          <rPr>
            <sz val="10"/>
            <rFont val="Arial"/>
            <family val="2"/>
          </rPr>
          <t xml:space="preserve">per user plan</t>
        </r>
        <r>
          <rPr>
            <sz val="10"/>
            <rFont val="Noto Sans CJK SC"/>
            <family val="2"/>
          </rPr>
          <t xml:space="preserve">なら約</t>
        </r>
        <r>
          <rPr>
            <sz val="10"/>
            <rFont val="Arial"/>
            <family val="2"/>
          </rPr>
          <t xml:space="preserve">$15/user/</t>
        </r>
        <r>
          <rPr>
            <sz val="10"/>
            <rFont val="Noto Sans CJK SC"/>
            <family val="2"/>
          </rPr>
          <t xml:space="preserve">月</t>
        </r>
      </text>
    </comment>
    <comment ref="B14" authorId="0">
      <text>
        <r>
          <rPr>
            <sz val="10"/>
            <rFont val="Arial"/>
            <family val="2"/>
          </rPr>
          <t xml:space="preserve">Power Apps Premium</t>
        </r>
        <r>
          <rPr>
            <sz val="10"/>
            <rFont val="Noto Sans CJK SC"/>
            <family val="2"/>
          </rPr>
          <t xml:space="preserve">加入時のテナント基本枠</t>
        </r>
        <r>
          <rPr>
            <sz val="10"/>
            <rFont val="Arial"/>
            <family val="2"/>
          </rPr>
          <t xml:space="preserve">(2025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月改定後</t>
        </r>
        <r>
          <rPr>
            <sz val="10"/>
            <rFont val="Arial"/>
            <family val="2"/>
          </rPr>
          <t xml:space="preserve">)</t>
        </r>
      </text>
    </comment>
    <comment ref="B15" authorId="0">
      <text>
        <r>
          <rPr>
            <sz val="10"/>
            <rFont val="Arial"/>
            <family val="2"/>
          </rPr>
          <t xml:space="preserve">Power Apps Premium</t>
        </r>
        <r>
          <rPr>
            <sz val="10"/>
            <rFont val="Noto Sans CJK SC"/>
            <family val="2"/>
          </rPr>
          <t xml:space="preserve">加入時のテナント基本枠</t>
        </r>
        <r>
          <rPr>
            <sz val="10"/>
            <rFont val="Arial"/>
            <family val="2"/>
          </rPr>
          <t xml:space="preserve">(2025</t>
        </r>
        <r>
          <rPr>
            <sz val="10"/>
            <rFont val="Noto Sans CJK SC"/>
            <family val="2"/>
          </rPr>
          <t xml:space="preserve">年</t>
        </r>
        <r>
          <rPr>
            <sz val="10"/>
            <rFont val="Arial"/>
            <family val="2"/>
          </rPr>
          <t xml:space="preserve">12</t>
        </r>
        <r>
          <rPr>
            <sz val="10"/>
            <rFont val="Noto Sans CJK SC"/>
            <family val="2"/>
          </rPr>
          <t xml:space="preserve">月改定後</t>
        </r>
        <r>
          <rPr>
            <sz val="10"/>
            <rFont val="Arial"/>
            <family val="2"/>
          </rPr>
          <t xml:space="preserve">)</t>
        </r>
      </text>
    </comment>
    <comment ref="B34" authorId="0">
      <text>
        <r>
          <rPr>
            <sz val="10"/>
            <rFont val="Arial"/>
            <family val="2"/>
          </rPr>
          <t xml:space="preserve">Azure</t>
        </r>
        <r>
          <rPr>
            <sz val="10"/>
            <rFont val="Noto Sans CJK SC"/>
            <family val="2"/>
          </rPr>
          <t xml:space="preserve">サブスクリプション経由の従量課金。当該月にアプリを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回でも開いたユニークユーザー数で課金</t>
        </r>
      </text>
    </comment>
    <comment ref="B35" authorId="0">
      <text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本の統合アプリなら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Noto Sans CJK SC"/>
            <family val="2"/>
          </rPr>
          <t xml:space="preserve">。管理者用</t>
        </r>
        <r>
          <rPr>
            <sz val="10"/>
            <rFont val="Arial"/>
            <family val="2"/>
          </rPr>
          <t xml:space="preserve">/</t>
        </r>
        <r>
          <rPr>
            <sz val="10"/>
            <rFont val="Noto Sans CJK SC"/>
            <family val="2"/>
          </rPr>
          <t xml:space="preserve">現場用を分ける場合は増える点に注意</t>
        </r>
      </text>
    </comment>
  </commentList>
</comments>
</file>

<file path=xl/sharedStrings.xml><?xml version="1.0" encoding="utf-8"?>
<sst xmlns="http://schemas.openxmlformats.org/spreadsheetml/2006/main" count="43" uniqueCount="42">
  <si>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仮称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樹木管理システム </t>
    </r>
    <r>
      <rPr>
        <b val="true"/>
        <sz val="14"/>
        <rFont val="Arial"/>
        <family val="0"/>
        <charset val="1"/>
      </rPr>
      <t xml:space="preserve">Power Platform </t>
    </r>
    <r>
      <rPr>
        <b val="true"/>
        <sz val="14"/>
        <rFont val="Noto Sans CJK SC"/>
        <family val="2"/>
      </rPr>
      <t xml:space="preserve">ライセンス費用試算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月額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</si>
  <si>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前提：現状</t>
    </r>
    <r>
      <rPr>
        <i val="true"/>
        <sz val="9"/>
        <color rgb="FF7F7F7F"/>
        <rFont val="Arial"/>
        <family val="0"/>
        <charset val="1"/>
      </rPr>
      <t xml:space="preserve">Power Platform</t>
    </r>
    <r>
      <rPr>
        <i val="true"/>
        <sz val="9"/>
        <color rgb="FF7F7F7F"/>
        <rFont val="Noto Sans CJK SC"/>
        <family val="2"/>
      </rPr>
      <t xml:space="preserve">ライセンス未保有。黄色セル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青字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は調整可能な入力値。価格は</t>
    </r>
    <r>
      <rPr>
        <i val="true"/>
        <sz val="9"/>
        <color rgb="FF7F7F7F"/>
        <rFont val="Arial"/>
        <family val="0"/>
        <charset val="1"/>
      </rPr>
      <t xml:space="preserve">2026</t>
    </r>
    <r>
      <rPr>
        <i val="true"/>
        <sz val="9"/>
        <color rgb="FF7F7F7F"/>
        <rFont val="Noto Sans CJK SC"/>
        <family val="2"/>
      </rPr>
      <t xml:space="preserve">年</t>
    </r>
    <r>
      <rPr>
        <i val="true"/>
        <sz val="9"/>
        <color rgb="FF7F7F7F"/>
        <rFont val="Arial"/>
        <family val="0"/>
        <charset val="1"/>
      </rPr>
      <t xml:space="preserve">8</t>
    </r>
    <r>
      <rPr>
        <i val="true"/>
        <sz val="9"/>
        <color rgb="FF7F7F7F"/>
        <rFont val="Noto Sans CJK SC"/>
        <family val="2"/>
      </rPr>
      <t xml:space="preserve">月時点の一般公開情報に基づく概算。実際の調達時は</t>
    </r>
    <r>
      <rPr>
        <i val="true"/>
        <sz val="9"/>
        <color rgb="FF7F7F7F"/>
        <rFont val="Arial"/>
        <family val="0"/>
        <charset val="1"/>
      </rPr>
      <t xml:space="preserve">Microsoft</t>
    </r>
    <r>
      <rPr>
        <i val="true"/>
        <sz val="9"/>
        <color rgb="FF7F7F7F"/>
        <rFont val="Noto Sans CJK SC"/>
        <family val="2"/>
      </rPr>
      <t xml:space="preserve">パートナー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リセラー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から正式見積を取得すること。</t>
    </r>
  </si>
  <si>
    <t xml:space="preserve">① 基本入力パラメータ</t>
  </si>
  <si>
    <r>
      <rPr>
        <sz val="10"/>
        <rFont val="Noto Sans CJK SC"/>
        <family val="2"/>
      </rPr>
      <t xml:space="preserve">想定利用者数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職員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委託業者、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区分合計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</si>
  <si>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月間アクティブ率</t>
    </r>
    <r>
      <rPr>
        <sz val="10"/>
        <rFont val="Arial"/>
        <family val="0"/>
        <charset val="1"/>
      </rPr>
      <t xml:space="preserve">(PAYG</t>
    </r>
    <r>
      <rPr>
        <sz val="10"/>
        <rFont val="Noto Sans CJK SC"/>
        <family val="2"/>
      </rPr>
      <t xml:space="preserve">モデル用。全利用者中、月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回以上ログインする割合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</si>
  <si>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為替レート</t>
    </r>
    <r>
      <rPr>
        <sz val="10"/>
        <rFont val="Arial"/>
        <family val="0"/>
        <charset val="1"/>
      </rPr>
      <t xml:space="preserve">(USD→JPY)</t>
    </r>
  </si>
  <si>
    <r>
      <rPr>
        <sz val="10"/>
        <rFont val="Noto Sans CJK SC"/>
        <family val="2"/>
      </rPr>
      <t xml:space="preserve">想定必要ファイルストレージ</t>
    </r>
    <r>
      <rPr>
        <sz val="10"/>
        <rFont val="Arial"/>
        <family val="0"/>
        <charset val="1"/>
      </rPr>
      <t xml:space="preserve">(GB)</t>
    </r>
    <r>
      <rPr>
        <sz val="10"/>
        <rFont val="Noto Sans CJK SC"/>
        <family val="2"/>
      </rPr>
      <t xml:space="preserve">：写真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診断カルテ</t>
    </r>
    <r>
      <rPr>
        <sz val="10"/>
        <rFont val="Arial"/>
        <family val="0"/>
        <charset val="1"/>
      </rPr>
      <t xml:space="preserve">PDF</t>
    </r>
    <r>
      <rPr>
        <sz val="10"/>
        <rFont val="Noto Sans CJK SC"/>
        <family val="2"/>
      </rPr>
      <t xml:space="preserve">等</t>
    </r>
  </si>
  <si>
    <r>
      <rPr>
        <sz val="10"/>
        <rFont val="Noto Sans CJK SC"/>
        <family val="2"/>
      </rPr>
      <t xml:space="preserve">想定必要データベースストレージ</t>
    </r>
    <r>
      <rPr>
        <sz val="10"/>
        <rFont val="Arial"/>
        <family val="0"/>
        <charset val="1"/>
      </rPr>
      <t xml:space="preserve">(GB)</t>
    </r>
    <r>
      <rPr>
        <sz val="10"/>
        <rFont val="Noto Sans CJK SC"/>
        <family val="2"/>
      </rPr>
      <t xml:space="preserve">：構造化データ本体</t>
    </r>
  </si>
  <si>
    <r>
      <rPr>
        <sz val="10"/>
        <rFont val="Arial"/>
        <family val="0"/>
        <charset val="1"/>
      </rPr>
      <t xml:space="preserve">Power Automate</t>
    </r>
    <r>
      <rPr>
        <sz val="10"/>
        <rFont val="Noto Sans CJK SC"/>
        <family val="2"/>
      </rPr>
      <t xml:space="preserve">追加ライセンス要否</t>
    </r>
    <r>
      <rPr>
        <sz val="10"/>
        <rFont val="Arial"/>
        <family val="0"/>
        <charset val="1"/>
      </rPr>
      <t xml:space="preserve">(0=</t>
    </r>
    <r>
      <rPr>
        <sz val="10"/>
        <rFont val="Noto Sans CJK SC"/>
        <family val="2"/>
      </rPr>
      <t xml:space="preserve">不要 </t>
    </r>
    <r>
      <rPr>
        <sz val="10"/>
        <rFont val="Arial"/>
        <family val="0"/>
        <charset val="1"/>
      </rPr>
      <t xml:space="preserve">/ 1=</t>
    </r>
    <r>
      <rPr>
        <sz val="10"/>
        <rFont val="Noto Sans CJK SC"/>
        <family val="2"/>
      </rPr>
      <t xml:space="preserve">必要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</si>
  <si>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　→ </t>
    </r>
    <r>
      <rPr>
        <sz val="10"/>
        <rFont val="Arial"/>
        <family val="0"/>
        <charset val="1"/>
      </rPr>
      <t xml:space="preserve">Power Automate per flow </t>
    </r>
    <r>
      <rPr>
        <sz val="10"/>
        <rFont val="Noto Sans CJK SC"/>
        <family val="2"/>
      </rPr>
      <t xml:space="preserve">プラン月額</t>
    </r>
    <r>
      <rPr>
        <sz val="10"/>
        <rFont val="Arial"/>
        <family val="0"/>
        <charset val="1"/>
      </rPr>
      <t xml:space="preserve">(USD</t>
    </r>
    <r>
      <rPr>
        <sz val="10"/>
        <rFont val="Noto Sans CJK SC"/>
        <family val="2"/>
      </rPr>
      <t xml:space="preserve">、必要時のみ計上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</si>
  <si>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color rgb="FFFFFFFF"/>
        <rFont val="Arial"/>
        <family val="0"/>
        <charset val="1"/>
      </rPr>
      <t xml:space="preserve">② Dataverse</t>
    </r>
    <r>
      <rPr>
        <b val="true"/>
        <sz val="12"/>
        <color rgb="FFFFFFFF"/>
        <rFont val="Noto Sans CJK SC"/>
        <family val="2"/>
      </rPr>
      <t xml:space="preserve">ストレージ既定値</t>
    </r>
    <r>
      <rPr>
        <b val="true"/>
        <sz val="12"/>
        <color rgb="FFFFFFFF"/>
        <rFont val="Arial"/>
        <family val="0"/>
        <charset val="1"/>
      </rPr>
      <t xml:space="preserve">(</t>
    </r>
    <r>
      <rPr>
        <b val="true"/>
        <sz val="12"/>
        <color rgb="FFFFFFFF"/>
        <rFont val="Noto Sans CJK SC"/>
        <family val="2"/>
      </rPr>
      <t xml:space="preserve">公開情報ベース、固定値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</si>
  <si>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テナート既定データベース容量</t>
    </r>
    <r>
      <rPr>
        <sz val="10"/>
        <rFont val="Arial"/>
        <family val="0"/>
        <charset val="1"/>
      </rPr>
      <t xml:space="preserve">(GB)</t>
    </r>
  </si>
  <si>
    <r>
      <rPr>
        <sz val="10"/>
        <rFont val="Noto Sans CJK SC"/>
        <family val="2"/>
      </rPr>
      <t xml:space="preserve">テナート既定ファイル容量</t>
    </r>
    <r>
      <rPr>
        <sz val="10"/>
        <rFont val="Arial"/>
        <family val="0"/>
        <charset val="1"/>
      </rPr>
      <t xml:space="preserve">(GB)</t>
    </r>
  </si>
  <si>
    <r>
      <rPr>
        <sz val="10"/>
        <rFont val="Arial"/>
        <family val="0"/>
        <charset val="1"/>
      </rPr>
      <t xml:space="preserve">Premium</t>
    </r>
    <r>
      <rPr>
        <sz val="10"/>
        <rFont val="Noto Sans CJK SC"/>
        <family val="2"/>
      </rPr>
      <t xml:space="preserve">ライセンス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本あたり追加</t>
    </r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容量</t>
    </r>
    <r>
      <rPr>
        <sz val="10"/>
        <rFont val="Arial"/>
        <family val="0"/>
        <charset val="1"/>
      </rPr>
      <t xml:space="preserve">(GB)</t>
    </r>
  </si>
  <si>
    <r>
      <rPr>
        <sz val="10"/>
        <rFont val="Arial"/>
        <family val="0"/>
        <charset val="1"/>
      </rPr>
      <t xml:space="preserve">Premium</t>
    </r>
    <r>
      <rPr>
        <sz val="10"/>
        <rFont val="Noto Sans CJK SC"/>
        <family val="2"/>
      </rPr>
      <t xml:space="preserve">ライセンス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本あたり追加ファイル容量</t>
    </r>
    <r>
      <rPr>
        <sz val="10"/>
        <rFont val="Arial"/>
        <family val="0"/>
        <charset val="1"/>
      </rPr>
      <t xml:space="preserve">(GB)</t>
    </r>
  </si>
  <si>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超過分の追加費用</t>
    </r>
    <r>
      <rPr>
        <sz val="10"/>
        <rFont val="Arial"/>
        <family val="0"/>
        <charset val="1"/>
      </rPr>
      <t xml:space="preserve">(USD/GB/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</si>
  <si>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ファイル超過分の追加費用</t>
    </r>
    <r>
      <rPr>
        <sz val="10"/>
        <rFont val="Arial"/>
        <family val="0"/>
        <charset val="1"/>
      </rPr>
      <t xml:space="preserve">(USD/GB/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</si>
  <si>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b val="true"/>
        <sz val="12"/>
        <color rgb="FFFFFFFF"/>
        <rFont val="Noto Sans CJK SC"/>
        <family val="2"/>
      </rPr>
      <t xml:space="preserve">③ ライセンスモデル</t>
    </r>
    <r>
      <rPr>
        <b val="true"/>
        <sz val="12"/>
        <color rgb="FFFFFFFF"/>
        <rFont val="Arial"/>
        <family val="0"/>
        <charset val="1"/>
      </rPr>
      <t xml:space="preserve">A</t>
    </r>
    <r>
      <rPr>
        <b val="true"/>
        <sz val="12"/>
        <color rgb="FFFFFFFF"/>
        <rFont val="Noto Sans CJK SC"/>
        <family val="2"/>
      </rPr>
      <t xml:space="preserve">：</t>
    </r>
    <r>
      <rPr>
        <b val="true"/>
        <sz val="12"/>
        <color rgb="FFFFFFFF"/>
        <rFont val="Arial"/>
        <family val="0"/>
        <charset val="1"/>
      </rPr>
      <t xml:space="preserve">Power Apps Premium(</t>
    </r>
    <r>
      <rPr>
        <b val="true"/>
        <sz val="12"/>
        <color rgb="FFFFFFFF"/>
        <rFont val="Noto Sans CJK SC"/>
        <family val="2"/>
      </rPr>
      <t xml:space="preserve">定額・無制限アプリ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</si>
  <si>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Premium</t>
    </r>
    <r>
      <rPr>
        <sz val="10"/>
        <rFont val="Noto Sans CJK SC"/>
        <family val="2"/>
      </rPr>
      <t xml:space="preserve">単価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ユーザー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</si>
  <si>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ライセンス費用小計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 = </t>
    </r>
    <r>
      <rPr>
        <sz val="10"/>
        <rFont val="Noto Sans CJK SC"/>
        <family val="2"/>
      </rPr>
      <t xml:space="preserve">単価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利用者数</t>
    </r>
  </si>
  <si>
    <r>
      <rPr>
        <sz val="10"/>
        <rFont val="Noto Sans CJK SC"/>
        <family val="2"/>
      </rPr>
      <t xml:space="preserve">含まれる</t>
    </r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容量</t>
    </r>
    <r>
      <rPr>
        <sz val="10"/>
        <rFont val="Arial"/>
        <family val="0"/>
        <charset val="1"/>
      </rPr>
      <t xml:space="preserve">(GB) = </t>
    </r>
    <r>
      <rPr>
        <sz val="10"/>
        <rFont val="Noto Sans CJK SC"/>
        <family val="2"/>
      </rPr>
      <t xml:space="preserve">テナント既定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利用者数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加算分</t>
    </r>
  </si>
  <si>
    <r>
      <rPr>
        <sz val="10"/>
        <rFont val="Noto Sans CJK SC"/>
        <family val="2"/>
      </rPr>
      <t xml:space="preserve">含まれるファイル容量</t>
    </r>
    <r>
      <rPr>
        <sz val="10"/>
        <rFont val="Arial"/>
        <family val="0"/>
        <charset val="1"/>
      </rPr>
      <t xml:space="preserve">(GB) = </t>
    </r>
    <r>
      <rPr>
        <sz val="10"/>
        <rFont val="Noto Sans CJK SC"/>
        <family val="2"/>
      </rPr>
      <t xml:space="preserve">テナント既定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利用者数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加算分</t>
    </r>
  </si>
  <si>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超過費用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 = MAX(0, </t>
    </r>
    <r>
      <rPr>
        <sz val="10"/>
        <rFont val="Noto Sans CJK SC"/>
        <family val="2"/>
      </rPr>
      <t xml:space="preserve">必要</t>
    </r>
    <r>
      <rPr>
        <sz val="10"/>
        <rFont val="Arial"/>
        <family val="0"/>
        <charset val="1"/>
      </rPr>
      <t xml:space="preserve">GB-</t>
    </r>
    <r>
      <rPr>
        <sz val="10"/>
        <rFont val="Noto Sans CJK SC"/>
        <family val="2"/>
      </rPr>
      <t xml:space="preserve">含まれる</t>
    </r>
    <r>
      <rPr>
        <sz val="10"/>
        <rFont val="Arial"/>
        <family val="0"/>
        <charset val="1"/>
      </rPr>
      <t xml:space="preserve">GB)×</t>
    </r>
    <r>
      <rPr>
        <sz val="10"/>
        <rFont val="Noto Sans CJK SC"/>
        <family val="2"/>
      </rPr>
      <t xml:space="preserve">単価</t>
    </r>
  </si>
  <si>
    <r>
      <rPr>
        <sz val="10"/>
        <rFont val="Noto Sans CJK SC"/>
        <family val="2"/>
      </rPr>
      <t xml:space="preserve">ファイル超過費用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 = MAX(0, </t>
    </r>
    <r>
      <rPr>
        <sz val="10"/>
        <rFont val="Noto Sans CJK SC"/>
        <family val="2"/>
      </rPr>
      <t xml:space="preserve">必要</t>
    </r>
    <r>
      <rPr>
        <sz val="10"/>
        <rFont val="Arial"/>
        <family val="0"/>
        <charset val="1"/>
      </rPr>
      <t xml:space="preserve">GB-</t>
    </r>
    <r>
      <rPr>
        <sz val="10"/>
        <rFont val="Noto Sans CJK SC"/>
        <family val="2"/>
      </rPr>
      <t xml:space="preserve">含まれる</t>
    </r>
    <r>
      <rPr>
        <sz val="10"/>
        <rFont val="Arial"/>
        <family val="0"/>
        <charset val="1"/>
      </rPr>
      <t xml:space="preserve">GB)×</t>
    </r>
    <r>
      <rPr>
        <sz val="10"/>
        <rFont val="Noto Sans CJK SC"/>
        <family val="2"/>
      </rPr>
      <t xml:space="preserve">単価</t>
    </r>
  </si>
  <si>
    <r>
      <rPr>
        <sz val="10"/>
        <rFont val="Arial"/>
        <family val="0"/>
        <charset val="1"/>
      </rPr>
      <t xml:space="preserve">Power Automate</t>
    </r>
    <r>
      <rPr>
        <sz val="10"/>
        <rFont val="Noto Sans CJK SC"/>
        <family val="2"/>
      </rPr>
      <t xml:space="preserve">追加費用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</si>
  <si>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【モデル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合計】月額</t>
    </r>
    <r>
      <rPr>
        <b val="true"/>
        <sz val="10"/>
        <rFont val="Arial"/>
        <family val="0"/>
        <charset val="1"/>
      </rPr>
      <t xml:space="preserve">(USD)</t>
    </r>
  </si>
  <si>
    <r>
      <rPr>
        <b val="true"/>
        <sz val="10"/>
        <rFont val="Noto Sans CJK SC"/>
        <family val="2"/>
      </rPr>
      <t xml:space="preserve">【モデル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合計】月額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円換算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</si>
  <si>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【モデル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合計】年額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円換算、税抜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</si>
  <si>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2"/>
        <color rgb="FFFFFFFF"/>
        <rFont val="Noto Sans CJK SC"/>
        <family val="2"/>
      </rPr>
      <t xml:space="preserve">④ ライセンスモデル</t>
    </r>
    <r>
      <rPr>
        <b val="true"/>
        <sz val="12"/>
        <color rgb="FFFFFFFF"/>
        <rFont val="Arial"/>
        <family val="0"/>
        <charset val="1"/>
      </rPr>
      <t xml:space="preserve">B</t>
    </r>
    <r>
      <rPr>
        <b val="true"/>
        <sz val="12"/>
        <color rgb="FFFFFFFF"/>
        <rFont val="Noto Sans CJK SC"/>
        <family val="2"/>
      </rPr>
      <t xml:space="preserve">：</t>
    </r>
    <r>
      <rPr>
        <b val="true"/>
        <sz val="12"/>
        <color rgb="FFFFFFFF"/>
        <rFont val="Arial"/>
        <family val="0"/>
        <charset val="1"/>
      </rPr>
      <t xml:space="preserve">Pay-As-You-Go(</t>
    </r>
    <r>
      <rPr>
        <b val="true"/>
        <sz val="12"/>
        <color rgb="FFFFFFFF"/>
        <rFont val="Noto Sans CJK SC"/>
        <family val="2"/>
      </rPr>
      <t xml:space="preserve">アクティブユーザー</t>
    </r>
    <r>
      <rPr>
        <b val="true"/>
        <sz val="12"/>
        <color rgb="FFFFFFFF"/>
        <rFont val="Arial"/>
        <family val="0"/>
        <charset val="1"/>
      </rPr>
      <t xml:space="preserve">×</t>
    </r>
    <r>
      <rPr>
        <b val="true"/>
        <sz val="12"/>
        <color rgb="FFFFFFFF"/>
        <rFont val="Noto Sans CJK SC"/>
        <family val="2"/>
      </rPr>
      <t xml:space="preserve">アプリ単位課金</t>
    </r>
    <r>
      <rPr>
        <b val="true"/>
        <sz val="12"/>
        <color rgb="FFFFFFFF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</si>
  <si>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PAYG</t>
    </r>
    <r>
      <rPr>
        <sz val="10"/>
        <rFont val="Noto Sans CJK SC"/>
        <family val="2"/>
      </rPr>
      <t xml:space="preserve">単価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アクティブユーザー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アプリ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</si>
  <si>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対象アプリ本数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職員用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現場入力用など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</si>
  <si>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月間アクティブユーザー数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利用者数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アクティブ率</t>
    </r>
  </si>
  <si>
    <r>
      <rPr>
        <sz val="10"/>
        <rFont val="Noto Sans CJK SC"/>
        <family val="2"/>
      </rPr>
      <t xml:space="preserve">ライセンス費用小計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 = </t>
    </r>
    <r>
      <rPr>
        <sz val="10"/>
        <rFont val="Noto Sans CJK SC"/>
        <family val="2"/>
      </rPr>
      <t xml:space="preserve">単価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アクティブユーザー数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アプリ本数</t>
    </r>
  </si>
  <si>
    <r>
      <rPr>
        <sz val="10"/>
        <rFont val="Arial"/>
        <family val="0"/>
        <charset val="1"/>
      </rPr>
      <t xml:space="preserve">DB</t>
    </r>
    <r>
      <rPr>
        <sz val="10"/>
        <rFont val="Noto Sans CJK SC"/>
        <family val="2"/>
      </rPr>
      <t xml:space="preserve">超過費用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PAYG</t>
    </r>
    <r>
      <rPr>
        <sz val="10"/>
        <rFont val="Noto Sans CJK SC"/>
        <family val="2"/>
      </rPr>
      <t xml:space="preserve">はライセンス加算枠なし、テナント既定枠のみ</t>
    </r>
  </si>
  <si>
    <r>
      <rPr>
        <sz val="10"/>
        <rFont val="Noto Sans CJK SC"/>
        <family val="2"/>
      </rPr>
      <t xml:space="preserve">ファイル超過費用</t>
    </r>
    <r>
      <rPr>
        <sz val="10"/>
        <rFont val="Arial"/>
        <family val="0"/>
        <charset val="1"/>
      </rPr>
      <t xml:space="preserve">(USD/</t>
    </r>
    <r>
      <rPr>
        <sz val="10"/>
        <rFont val="Noto Sans CJK SC"/>
        <family val="2"/>
      </rPr>
      <t xml:space="preserve">月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PAYG</t>
    </r>
    <r>
      <rPr>
        <sz val="10"/>
        <rFont val="Noto Sans CJK SC"/>
        <family val="2"/>
      </rPr>
      <t xml:space="preserve">はライセンス加算枠なし、テナント既定枠のみ</t>
    </r>
  </si>
  <si>
    <r>
      <rPr>
        <b val="true"/>
        <sz val="10"/>
        <rFont val="Noto Sans CJK SC"/>
        <family val="2"/>
      </rPr>
      <t xml:space="preserve">【モデル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合計】月額</t>
    </r>
    <r>
      <rPr>
        <b val="true"/>
        <sz val="10"/>
        <rFont val="Arial"/>
        <family val="0"/>
        <charset val="1"/>
      </rPr>
      <t xml:space="preserve">(USD)</t>
    </r>
  </si>
  <si>
    <r>
      <rPr>
        <b val="true"/>
        <sz val="10"/>
        <rFont val="Noto Sans CJK SC"/>
        <family val="2"/>
      </rPr>
      <t xml:space="preserve">【モデル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合計】月額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円換算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</si>
  <si>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【モデル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合計】年額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円換算、税抜</t>
    </r>
    <r>
      <rPr>
        <b val="true"/>
        <sz val="10"/>
        <rFont val="Arial"/>
        <family val="0"/>
        <charset val="1"/>
      </rPr>
      <t xml:space="preserve">)</t>
    </r>
  </si>
  <si>
    <t xml:space="preserve">⑤ 比較サマリ</t>
  </si>
  <si>
    <r>
      <rPr>
        <b val="true"/>
        <sz val="10"/>
        <rFont val="Noto Sans CJK SC"/>
        <family val="2"/>
      </rPr>
      <t xml:space="preserve">モデル</t>
    </r>
    <r>
      <rPr>
        <b val="true"/>
        <sz val="10"/>
        <rFont val="Arial"/>
        <family val="0"/>
        <charset val="1"/>
      </rPr>
      <t xml:space="preserve">A(Premium</t>
    </r>
    <r>
      <rPr>
        <b val="true"/>
        <sz val="10"/>
        <rFont val="Noto Sans CJK SC"/>
        <family val="2"/>
      </rPr>
      <t xml:space="preserve">・定額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月額</t>
    </r>
  </si>
  <si>
    <r>
      <rPr>
        <b val="true"/>
        <sz val="10"/>
        <rFont val="Noto Sans CJK SC"/>
        <family val="2"/>
      </rPr>
      <t xml:space="preserve">モデル</t>
    </r>
    <r>
      <rPr>
        <b val="true"/>
        <sz val="10"/>
        <rFont val="Arial"/>
        <family val="0"/>
        <charset val="1"/>
      </rPr>
      <t xml:space="preserve">B(PAYG</t>
    </r>
    <r>
      <rPr>
        <b val="true"/>
        <sz val="10"/>
        <rFont val="Noto Sans CJK SC"/>
        <family val="2"/>
      </rPr>
      <t xml:space="preserve">・従量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月額</t>
    </r>
  </si>
  <si>
    <r>
      <rPr>
        <i val="true"/>
        <sz val="9"/>
        <color rgb="FF7F7F7F"/>
        <rFont val="Noto Sans CJK SC"/>
        <family val="2"/>
      </rPr>
      <t xml:space="preserve">【出典・前提の注記】単価は</t>
    </r>
    <r>
      <rPr>
        <i val="true"/>
        <sz val="9"/>
        <color rgb="FF7F7F7F"/>
        <rFont val="Arial"/>
        <family val="0"/>
        <charset val="1"/>
      </rPr>
      <t xml:space="preserve">2026</t>
    </r>
    <r>
      <rPr>
        <i val="true"/>
        <sz val="9"/>
        <color rgb="FF7F7F7F"/>
        <rFont val="Noto Sans CJK SC"/>
        <family val="2"/>
      </rPr>
      <t xml:space="preserve">年</t>
    </r>
    <r>
      <rPr>
        <i val="true"/>
        <sz val="9"/>
        <color rgb="FF7F7F7F"/>
        <rFont val="Arial"/>
        <family val="0"/>
        <charset val="1"/>
      </rPr>
      <t xml:space="preserve">8</t>
    </r>
    <r>
      <rPr>
        <i val="true"/>
        <sz val="9"/>
        <color rgb="FF7F7F7F"/>
        <rFont val="Noto Sans CJK SC"/>
        <family val="2"/>
      </rPr>
      <t xml:space="preserve">月時点の一般公開情報</t>
    </r>
    <r>
      <rPr>
        <i val="true"/>
        <sz val="9"/>
        <color rgb="FF7F7F7F"/>
        <rFont val="Arial"/>
        <family val="0"/>
        <charset val="1"/>
      </rPr>
      <t xml:space="preserve">(Microsoft Power Apps</t>
    </r>
    <r>
      <rPr>
        <i val="true"/>
        <sz val="9"/>
        <color rgb="FF7F7F7F"/>
        <rFont val="Noto Sans CJK SC"/>
        <family val="2"/>
      </rPr>
      <t xml:space="preserve">価格ページ、各種ライセンス解説サイト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に基づく概算であり、日本国内での</t>
    </r>
    <r>
      <rPr>
        <i val="true"/>
        <sz val="9"/>
        <color rgb="FF7F7F7F"/>
        <rFont val="Arial"/>
        <family val="0"/>
        <charset val="1"/>
      </rPr>
      <t xml:space="preserve">CSP/EA</t>
    </r>
    <r>
      <rPr>
        <i val="true"/>
        <sz val="9"/>
        <color rgb="FF7F7F7F"/>
        <rFont val="Noto Sans CJK SC"/>
        <family val="2"/>
      </rPr>
      <t xml:space="preserve">価格・地方公共団体向け特別条件の有無は含まれていません。</t>
    </r>
    <r>
      <rPr>
        <i val="true"/>
        <sz val="9"/>
        <color rgb="FF7F7F7F"/>
        <rFont val="Arial"/>
        <family val="0"/>
        <charset val="1"/>
      </rPr>
      <t xml:space="preserve">Power Apps per app </t>
    </r>
    <r>
      <rPr>
        <i val="true"/>
        <sz val="9"/>
        <color rgb="FF7F7F7F"/>
        <rFont val="Noto Sans CJK SC"/>
        <family val="2"/>
      </rPr>
      <t xml:space="preserve">プランは</t>
    </r>
    <r>
      <rPr>
        <i val="true"/>
        <sz val="9"/>
        <color rgb="FF7F7F7F"/>
        <rFont val="Arial"/>
        <family val="0"/>
        <charset val="1"/>
      </rPr>
      <t xml:space="preserve">CSP</t>
    </r>
    <r>
      <rPr>
        <i val="true"/>
        <sz val="9"/>
        <color rgb="FF7F7F7F"/>
        <rFont val="Noto Sans CJK SC"/>
        <family val="2"/>
      </rPr>
      <t xml:space="preserve">経由で</t>
    </r>
    <r>
      <rPr>
        <i val="true"/>
        <sz val="9"/>
        <color rgb="FF7F7F7F"/>
        <rFont val="Arial"/>
        <family val="0"/>
        <charset val="1"/>
      </rPr>
      <t xml:space="preserve">2026</t>
    </r>
    <r>
      <rPr>
        <i val="true"/>
        <sz val="9"/>
        <color rgb="FF7F7F7F"/>
        <rFont val="Noto Sans CJK SC"/>
        <family val="2"/>
      </rPr>
      <t xml:space="preserve">年</t>
    </r>
    <r>
      <rPr>
        <i val="true"/>
        <sz val="9"/>
        <color rgb="FF7F7F7F"/>
        <rFont val="Arial"/>
        <family val="0"/>
        <charset val="1"/>
      </rPr>
      <t xml:space="preserve">4</t>
    </r>
    <r>
      <rPr>
        <i val="true"/>
        <sz val="9"/>
        <color rgb="FF7F7F7F"/>
        <rFont val="Noto Sans CJK SC"/>
        <family val="2"/>
      </rPr>
      <t xml:space="preserve">月に復活しており、アプリ数を絞れる場合はモデル</t>
    </r>
    <r>
      <rPr>
        <i val="true"/>
        <sz val="9"/>
        <color rgb="FF7F7F7F"/>
        <rFont val="Arial"/>
        <family val="0"/>
        <charset val="1"/>
      </rPr>
      <t xml:space="preserve">A</t>
    </r>
    <r>
      <rPr>
        <i val="true"/>
        <sz val="9"/>
        <color rgb="FF7F7F7F"/>
        <rFont val="Noto Sans CJK SC"/>
        <family val="2"/>
      </rPr>
      <t xml:space="preserve">・</t>
    </r>
    <r>
      <rPr>
        <i val="true"/>
        <sz val="9"/>
        <color rgb="FF7F7F7F"/>
        <rFont val="Arial"/>
        <family val="0"/>
        <charset val="1"/>
      </rPr>
      <t xml:space="preserve">B</t>
    </r>
    <r>
      <rPr>
        <i val="true"/>
        <sz val="9"/>
        <color rgb="FF7F7F7F"/>
        <rFont val="Noto Sans CJK SC"/>
        <family val="2"/>
      </rPr>
      <t xml:space="preserve">と別に検討の余地があります。また、</t>
    </r>
    <r>
      <rPr>
        <i val="true"/>
        <sz val="9"/>
        <color rgb="FF7F7F7F"/>
        <rFont val="Arial"/>
        <family val="0"/>
        <charset val="1"/>
      </rPr>
      <t xml:space="preserve">Dataverse</t>
    </r>
    <r>
      <rPr>
        <i val="true"/>
        <sz val="9"/>
        <color rgb="FF7F7F7F"/>
        <rFont val="Noto Sans CJK SC"/>
        <family val="2"/>
      </rPr>
      <t xml:space="preserve">の既定容量・加算率は複数の非公式情報源からの推定値であり、正確な数値は</t>
    </r>
    <r>
      <rPr>
        <i val="true"/>
        <sz val="9"/>
        <color rgb="FF7F7F7F"/>
        <rFont val="Arial"/>
        <family val="0"/>
        <charset val="1"/>
      </rPr>
      <t xml:space="preserve">Microsoft Power Platform</t>
    </r>
    <r>
      <rPr>
        <i val="true"/>
        <sz val="9"/>
        <color rgb="FF7F7F7F"/>
        <rFont val="Noto Sans CJK SC"/>
        <family val="2"/>
      </rPr>
      <t xml:space="preserve">管理センターの容量シミュレーターおよび正規リセラーからの見積もりで必ず確認してください。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</si>
</sst>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\$#,##0"/>
    <numFmt numFmtId="167" formatCode="0.0"/>
    <numFmt numFmtId="168" formatCode="\¥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7F7F7F"/>
      <name val="Noto Sans CJK SC"/>
      <family val="2"/>
    </font>
    <font>
      <i val="true"/>
      <sz val="9"/>
      <color rgb="FF7F7F7F"/>
      <name val="Arial"/>
      <family val="0"/>
      <charset val="1"/>
    </font>
    <font>
      <b val="true"/>
      <sz val="12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8" min="3" style="0" width="1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30</v>
      </c>
    </row>
    <row r="6" customFormat="false" ht="15" hidden="false" customHeight="false" outlineLevel="0" collapsed="false">
      <c r="A6" s="4" t="s">
        <v>4</v>
      </c>
      <c r="B6" s="6" t="n">
        <v>0.7</v>
      </c>
    </row>
    <row r="7" customFormat="false" ht="15" hidden="false" customHeight="false" outlineLevel="0" collapsed="false">
      <c r="A7" s="4" t="s">
        <v>5</v>
      </c>
      <c r="B7" s="5" t="n">
        <v>155</v>
      </c>
    </row>
    <row r="8" customFormat="false" ht="15" hidden="false" customHeight="false" outlineLevel="0" collapsed="false">
      <c r="A8" s="4" t="s">
        <v>6</v>
      </c>
      <c r="B8" s="5" t="n">
        <v>80</v>
      </c>
    </row>
    <row r="9" customFormat="false" ht="15" hidden="false" customHeight="false" outlineLevel="0" collapsed="false">
      <c r="A9" s="4" t="s">
        <v>7</v>
      </c>
      <c r="B9" s="5" t="n">
        <v>3</v>
      </c>
    </row>
    <row r="10" customFormat="false" ht="15" hidden="false" customHeight="false" outlineLevel="0" collapsed="false">
      <c r="A10" s="7" t="s">
        <v>8</v>
      </c>
      <c r="B10" s="5" t="n">
        <v>0</v>
      </c>
    </row>
    <row r="11" customFormat="false" ht="15" hidden="false" customHeight="false" outlineLevel="0" collapsed="false">
      <c r="A11" s="4" t="s">
        <v>9</v>
      </c>
      <c r="B11" s="5" t="n">
        <v>100</v>
      </c>
    </row>
    <row r="13" customFormat="false" ht="19.5" hidden="false" customHeight="true" outlineLevel="0" collapsed="false">
      <c r="A13" s="8" t="s">
        <v>10</v>
      </c>
      <c r="B13" s="8"/>
      <c r="C13" s="8"/>
    </row>
    <row r="14" customFormat="false" ht="15" hidden="false" customHeight="false" outlineLevel="0" collapsed="false">
      <c r="A14" s="4" t="s">
        <v>11</v>
      </c>
      <c r="B14" s="4" t="n">
        <v>20</v>
      </c>
    </row>
    <row r="15" customFormat="false" ht="15" hidden="false" customHeight="false" outlineLevel="0" collapsed="false">
      <c r="A15" s="4" t="s">
        <v>12</v>
      </c>
      <c r="B15" s="4" t="n">
        <v>40</v>
      </c>
    </row>
    <row r="16" customFormat="false" ht="15" hidden="false" customHeight="false" outlineLevel="0" collapsed="false">
      <c r="A16" s="7" t="s">
        <v>13</v>
      </c>
      <c r="B16" s="4" t="n">
        <v>0.25</v>
      </c>
    </row>
    <row r="17" customFormat="false" ht="15" hidden="false" customHeight="false" outlineLevel="0" collapsed="false">
      <c r="A17" s="7" t="s">
        <v>14</v>
      </c>
      <c r="B17" s="4" t="n">
        <v>2</v>
      </c>
    </row>
    <row r="18" customFormat="false" ht="15" hidden="false" customHeight="false" outlineLevel="0" collapsed="false">
      <c r="A18" s="7" t="s">
        <v>15</v>
      </c>
      <c r="B18" s="4" t="n">
        <v>40</v>
      </c>
    </row>
    <row r="19" customFormat="false" ht="15" hidden="false" customHeight="false" outlineLevel="0" collapsed="false">
      <c r="A19" s="4" t="s">
        <v>16</v>
      </c>
      <c r="B19" s="4" t="n">
        <v>2</v>
      </c>
    </row>
    <row r="21" customFormat="false" ht="19.5" hidden="false" customHeight="true" outlineLevel="0" collapsed="false">
      <c r="A21" s="3" t="s">
        <v>17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7" t="s">
        <v>18</v>
      </c>
      <c r="B22" s="4" t="n">
        <v>20</v>
      </c>
    </row>
    <row r="23" customFormat="false" ht="15" hidden="false" customHeight="false" outlineLevel="0" collapsed="false">
      <c r="A23" s="4" t="s">
        <v>19</v>
      </c>
      <c r="B23" s="9" t="n">
        <f aca="false">B22*B5</f>
        <v>600</v>
      </c>
    </row>
    <row r="24" customFormat="false" ht="15" hidden="false" customHeight="false" outlineLevel="0" collapsed="false">
      <c r="A24" s="4" t="s">
        <v>20</v>
      </c>
      <c r="B24" s="10" t="n">
        <f aca="false">B14+B5*B16</f>
        <v>27.5</v>
      </c>
    </row>
    <row r="25" customFormat="false" ht="15" hidden="false" customHeight="false" outlineLevel="0" collapsed="false">
      <c r="A25" s="4" t="s">
        <v>21</v>
      </c>
      <c r="B25" s="10" t="n">
        <f aca="false">B15+B5*B17</f>
        <v>100</v>
      </c>
    </row>
    <row r="26" customFormat="false" ht="15" hidden="false" customHeight="false" outlineLevel="0" collapsed="false">
      <c r="A26" s="7" t="s">
        <v>22</v>
      </c>
      <c r="B26" s="9" t="n">
        <f aca="false">MAX(0,B9-B24)*B18</f>
        <v>0</v>
      </c>
    </row>
    <row r="27" customFormat="false" ht="15" hidden="false" customHeight="false" outlineLevel="0" collapsed="false">
      <c r="A27" s="4" t="s">
        <v>23</v>
      </c>
      <c r="B27" s="9" t="n">
        <f aca="false">MAX(0,B8-B25)*B19</f>
        <v>0</v>
      </c>
    </row>
    <row r="28" customFormat="false" ht="15" hidden="false" customHeight="false" outlineLevel="0" collapsed="false">
      <c r="A28" s="7" t="s">
        <v>24</v>
      </c>
      <c r="B28" s="9" t="n">
        <f aca="false">B10*B11</f>
        <v>0</v>
      </c>
    </row>
    <row r="29" customFormat="false" ht="15" hidden="false" customHeight="false" outlineLevel="0" collapsed="false">
      <c r="A29" s="11" t="s">
        <v>25</v>
      </c>
      <c r="B29" s="12" t="n">
        <f aca="false">B23+B26+B27+B28</f>
        <v>600</v>
      </c>
    </row>
    <row r="30" customFormat="false" ht="15" hidden="false" customHeight="false" outlineLevel="0" collapsed="false">
      <c r="A30" s="11" t="s">
        <v>26</v>
      </c>
      <c r="B30" s="13" t="n">
        <f aca="false">B29*B7</f>
        <v>93000</v>
      </c>
    </row>
    <row r="31" customFormat="false" ht="15" hidden="false" customHeight="false" outlineLevel="0" collapsed="false">
      <c r="A31" s="11" t="s">
        <v>27</v>
      </c>
      <c r="B31" s="13" t="n">
        <f aca="false">B30*12</f>
        <v>1116000</v>
      </c>
    </row>
    <row r="33" customFormat="false" ht="19.5" hidden="false" customHeight="true" outlineLevel="0" collapsed="false">
      <c r="A33" s="3" t="s">
        <v>28</v>
      </c>
      <c r="B33" s="3"/>
      <c r="C33" s="3"/>
      <c r="D33" s="3"/>
      <c r="E33" s="3"/>
      <c r="F33" s="3"/>
    </row>
    <row r="34" customFormat="false" ht="15" hidden="false" customHeight="false" outlineLevel="0" collapsed="false">
      <c r="A34" s="7" t="s">
        <v>29</v>
      </c>
      <c r="B34" s="4" t="n">
        <v>10</v>
      </c>
    </row>
    <row r="35" customFormat="false" ht="15" hidden="false" customHeight="false" outlineLevel="0" collapsed="false">
      <c r="A35" s="4" t="s">
        <v>30</v>
      </c>
      <c r="B35" s="5" t="n">
        <v>1</v>
      </c>
    </row>
    <row r="36" customFormat="false" ht="15" hidden="false" customHeight="false" outlineLevel="0" collapsed="false">
      <c r="A36" s="4" t="s">
        <v>31</v>
      </c>
      <c r="B36" s="10" t="n">
        <f aca="false">B5*B6</f>
        <v>21</v>
      </c>
    </row>
    <row r="37" customFormat="false" ht="15" hidden="false" customHeight="false" outlineLevel="0" collapsed="false">
      <c r="A37" s="4" t="s">
        <v>32</v>
      </c>
      <c r="B37" s="9" t="n">
        <f aca="false">B34*B36*B35</f>
        <v>210</v>
      </c>
    </row>
    <row r="38" customFormat="false" ht="15" hidden="false" customHeight="false" outlineLevel="0" collapsed="false">
      <c r="A38" s="7" t="s">
        <v>33</v>
      </c>
      <c r="B38" s="9" t="n">
        <f aca="false">MAX(0,B9-B14)*B18</f>
        <v>0</v>
      </c>
    </row>
    <row r="39" customFormat="false" ht="15" hidden="false" customHeight="false" outlineLevel="0" collapsed="false">
      <c r="A39" s="4" t="s">
        <v>34</v>
      </c>
      <c r="B39" s="9" t="n">
        <f aca="false">MAX(0,B8-B15)*B19</f>
        <v>80</v>
      </c>
    </row>
    <row r="40" customFormat="false" ht="15" hidden="false" customHeight="false" outlineLevel="0" collapsed="false">
      <c r="A40" s="7" t="s">
        <v>24</v>
      </c>
      <c r="B40" s="9" t="n">
        <f aca="false">B10*B11</f>
        <v>0</v>
      </c>
    </row>
    <row r="41" customFormat="false" ht="15" hidden="false" customHeight="false" outlineLevel="0" collapsed="false">
      <c r="A41" s="11" t="s">
        <v>35</v>
      </c>
      <c r="B41" s="12" t="n">
        <f aca="false">B37+B38+B39+B40</f>
        <v>290</v>
      </c>
    </row>
    <row r="42" customFormat="false" ht="15" hidden="false" customHeight="false" outlineLevel="0" collapsed="false">
      <c r="A42" s="11" t="s">
        <v>36</v>
      </c>
      <c r="B42" s="13" t="n">
        <f aca="false">B41*B7</f>
        <v>44950</v>
      </c>
    </row>
    <row r="43" customFormat="false" ht="15" hidden="false" customHeight="false" outlineLevel="0" collapsed="false">
      <c r="A43" s="11" t="s">
        <v>37</v>
      </c>
      <c r="B43" s="13" t="n">
        <f aca="false">B42*12</f>
        <v>539400</v>
      </c>
    </row>
    <row r="45" customFormat="false" ht="19.5" hidden="false" customHeight="true" outlineLevel="0" collapsed="false">
      <c r="A45" s="3" t="s">
        <v>38</v>
      </c>
      <c r="B45" s="3"/>
      <c r="C45" s="3"/>
    </row>
    <row r="46" customFormat="false" ht="15" hidden="false" customHeight="false" outlineLevel="0" collapsed="false">
      <c r="A46" s="14" t="s">
        <v>39</v>
      </c>
      <c r="B46" s="15" t="n">
        <f aca="false">B30</f>
        <v>93000</v>
      </c>
    </row>
    <row r="47" customFormat="false" ht="15" hidden="false" customHeight="false" outlineLevel="0" collapsed="false">
      <c r="A47" s="14" t="s">
        <v>40</v>
      </c>
      <c r="B47" s="15" t="n">
        <f aca="false">B42</f>
        <v>44950</v>
      </c>
    </row>
    <row r="49" customFormat="false" ht="60" hidden="false" customHeight="true" outlineLevel="0" collapsed="false">
      <c r="A49" s="2" t="s">
        <v>41</v>
      </c>
      <c r="B49" s="2"/>
      <c r="C49" s="2"/>
      <c r="D49" s="2"/>
      <c r="E49" s="2"/>
      <c r="F49" s="2"/>
      <c r="G49" s="2"/>
      <c r="H49" s="2"/>
    </row>
  </sheetData>
  <mergeCells count="8">
    <mergeCell ref="A1:F1"/>
    <mergeCell ref="A2:H2"/>
    <mergeCell ref="A4:C4"/>
    <mergeCell ref="A13:C13"/>
    <mergeCell ref="A21:F21"/>
    <mergeCell ref="A33:F33"/>
    <mergeCell ref="A45:C45"/>
    <mergeCell ref="A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2026-08-27T04:39:20Z</dcterms:created>
  <dc:creator>openpyxl</dc:creator>
  <dc:description/>
  <dc:language>en-US</dc:language>
  <cp:lastModifiedBy/>
  <dcterms:modified xsi:type="dcterms:W3CDTF">2026-08-27T04:39:20Z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