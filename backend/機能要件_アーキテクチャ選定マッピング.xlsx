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機能要件マッピング"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<sst xmlns="http://schemas.openxmlformats.org/spreadsheetml/2006/main" count="305" uniqueCount="123">
  <si>
    <t xml:space="preserve">項番</t>
  </si>
  <si>
    <t xml:space="preserve">分類</t>
  </si>
  <si>
    <t xml:space="preserve">要求内容</t>
  </si>
  <si>
    <r>
      <rPr>
        <b val="true"/>
        <sz val="10"/>
        <color rgb="FFFFFFFF"/>
        <rFont val="Noto Sans CJK SC"/>
        <family val="2"/>
      </rPr>
      <t xml:space="preserve">候補</t>
    </r>
    <r>
      <rPr>
        <b val="true"/>
        <sz val="10"/>
        <color rgb="FFFFFFFF"/>
        <rFont val="Arial"/>
        <family val="0"/>
        <charset val="1"/>
      </rPr>
      <t xml:space="preserve">A</t>
    </r>
    <r>
      <rPr>
        <b val="true"/>
        <sz val="10"/>
        <color rgb="FFFFFFFF"/>
        <rFont val="Noto Sans CJK SC"/>
        <family val="2"/>
      </rPr>
      <t xml:space="preserve">評価</t>
    </r>
  </si>
  <si>
    <r>
      <rPr>
        <b val="true"/>
        <sz val="10"/>
        <color rgb="FFFFFFFF"/>
        <rFont val="Noto Sans CJK SC"/>
        <family val="2"/>
      </rPr>
      <t xml:space="preserve">候補</t>
    </r>
    <r>
      <rPr>
        <b val="true"/>
        <sz val="10"/>
        <color rgb="FFFFFFFF"/>
        <rFont val="Arial"/>
        <family val="0"/>
        <charset val="1"/>
      </rPr>
      <t xml:space="preserve">A_</t>
    </r>
    <r>
      <rPr>
        <b val="true"/>
        <sz val="10"/>
        <color rgb="FFFFFFFF"/>
        <rFont val="Noto Sans CJK SC"/>
        <family val="2"/>
      </rPr>
      <t xml:space="preserve">専用</t>
    </r>
    <r>
      <rPr>
        <b val="true"/>
        <sz val="10"/>
        <color rgb="FFFFFFFF"/>
        <rFont val="Arial"/>
        <family val="0"/>
        <charset val="1"/>
      </rPr>
      <t xml:space="preserve">SaaS(</t>
    </r>
    <r>
      <rPr>
        <b val="true"/>
        <sz val="10"/>
        <color rgb="FFFFFFFF"/>
        <rFont val="Noto Sans CJK SC"/>
        <family val="2"/>
      </rPr>
      <t xml:space="preserve">街路樹</t>
    </r>
    <r>
      <rPr>
        <b val="true"/>
        <sz val="10"/>
        <color rgb="FFFFFFFF"/>
        <rFont val="Arial"/>
        <family val="0"/>
        <charset val="1"/>
      </rPr>
      <t xml:space="preserve">Note</t>
    </r>
    <r>
      <rPr>
        <b val="true"/>
        <sz val="10"/>
        <color rgb="FFFFFFFF"/>
        <rFont val="Noto Sans CJK SC"/>
        <family val="2"/>
      </rPr>
      <t xml:space="preserve">型</t>
    </r>
    <r>
      <rPr>
        <b val="true"/>
        <sz val="10"/>
        <color rgb="FFFFFFFF"/>
        <rFont val="Arial"/>
        <family val="0"/>
        <charset val="1"/>
      </rPr>
      <t xml:space="preserve">)</t>
    </r>
    <r>
      <rPr>
        <b val="true"/>
        <sz val="10"/>
        <color rgb="FFFFFFFF"/>
        <rFont val="Noto Sans CJK SC"/>
        <family val="2"/>
      </rPr>
      <t xml:space="preserve">備考</t>
    </r>
  </si>
  <si>
    <r>
      <rPr>
        <b val="true"/>
        <sz val="10"/>
        <color rgb="FFFFFFFF"/>
        <rFont val="Noto Sans CJK SC"/>
        <family val="2"/>
      </rPr>
      <t xml:space="preserve">候補</t>
    </r>
    <r>
      <rPr>
        <b val="true"/>
        <sz val="10"/>
        <color rgb="FFFFFFFF"/>
        <rFont val="Arial"/>
        <family val="0"/>
        <charset val="1"/>
      </rPr>
      <t xml:space="preserve">B</t>
    </r>
    <r>
      <rPr>
        <b val="true"/>
        <sz val="10"/>
        <color rgb="FFFFFFFF"/>
        <rFont val="Noto Sans CJK SC"/>
        <family val="2"/>
      </rPr>
      <t xml:space="preserve">評価</t>
    </r>
  </si>
  <si>
    <r>
      <rPr>
        <b val="true"/>
        <sz val="10"/>
        <color rgb="FFFFFFFF"/>
        <rFont val="Noto Sans CJK SC"/>
        <family val="2"/>
      </rPr>
      <t xml:space="preserve">候補</t>
    </r>
    <r>
      <rPr>
        <b val="true"/>
        <sz val="10"/>
        <color rgb="FFFFFFFF"/>
        <rFont val="Arial"/>
        <family val="0"/>
        <charset val="1"/>
      </rPr>
      <t xml:space="preserve">B_</t>
    </r>
    <r>
      <rPr>
        <b val="true"/>
        <sz val="10"/>
        <color rgb="FFFFFFFF"/>
        <rFont val="Noto Sans CJK SC"/>
        <family val="2"/>
      </rPr>
      <t xml:space="preserve">汎用</t>
    </r>
    <r>
      <rPr>
        <b val="true"/>
        <sz val="10"/>
        <color rgb="FFFFFFFF"/>
        <rFont val="Arial"/>
        <family val="0"/>
        <charset val="1"/>
      </rPr>
      <t xml:space="preserve">GIS+</t>
    </r>
    <r>
      <rPr>
        <b val="true"/>
        <sz val="10"/>
        <color rgb="FFFFFFFF"/>
        <rFont val="Noto Sans CJK SC"/>
        <family val="2"/>
      </rPr>
      <t xml:space="preserve">ローコード</t>
    </r>
    <r>
      <rPr>
        <b val="true"/>
        <sz val="10"/>
        <color rgb="FFFFFFFF"/>
        <rFont val="Arial"/>
        <family val="0"/>
        <charset val="1"/>
      </rPr>
      <t xml:space="preserve">(ArcGIS+kintone</t>
    </r>
    <r>
      <rPr>
        <b val="true"/>
        <sz val="10"/>
        <color rgb="FFFFFFFF"/>
        <rFont val="Noto Sans CJK SC"/>
        <family val="2"/>
      </rPr>
      <t xml:space="preserve">型</t>
    </r>
    <r>
      <rPr>
        <b val="true"/>
        <sz val="10"/>
        <color rgb="FFFFFFFF"/>
        <rFont val="Arial"/>
        <family val="0"/>
        <charset val="1"/>
      </rPr>
      <t xml:space="preserve">)</t>
    </r>
    <r>
      <rPr>
        <b val="true"/>
        <sz val="10"/>
        <color rgb="FFFFFFFF"/>
        <rFont val="Noto Sans CJK SC"/>
        <family val="2"/>
      </rPr>
      <t xml:space="preserve">備考</t>
    </r>
  </si>
  <si>
    <r>
      <rPr>
        <b val="true"/>
        <sz val="10"/>
        <color rgb="FFFFFFFF"/>
        <rFont val="Noto Sans CJK SC"/>
        <family val="2"/>
      </rPr>
      <t xml:space="preserve">候補</t>
    </r>
    <r>
      <rPr>
        <b val="true"/>
        <sz val="10"/>
        <color rgb="FFFFFFFF"/>
        <rFont val="Arial"/>
        <family val="0"/>
        <charset val="1"/>
      </rPr>
      <t xml:space="preserve">C</t>
    </r>
    <r>
      <rPr>
        <b val="true"/>
        <sz val="10"/>
        <color rgb="FFFFFFFF"/>
        <rFont val="Noto Sans CJK SC"/>
        <family val="2"/>
      </rPr>
      <t xml:space="preserve">評価</t>
    </r>
  </si>
  <si>
    <r>
      <rPr>
        <b val="true"/>
        <sz val="10"/>
        <color rgb="FFFFFFFF"/>
        <rFont val="Noto Sans CJK SC"/>
        <family val="2"/>
      </rPr>
      <t xml:space="preserve">候補</t>
    </r>
    <r>
      <rPr>
        <b val="true"/>
        <sz val="10"/>
        <color rgb="FFFFFFFF"/>
        <rFont val="Arial"/>
        <family val="0"/>
        <charset val="1"/>
      </rPr>
      <t xml:space="preserve">C_</t>
    </r>
    <r>
      <rPr>
        <b val="true"/>
        <sz val="10"/>
        <color rgb="FFFFFFFF"/>
        <rFont val="Noto Sans CJK SC"/>
        <family val="2"/>
      </rPr>
      <t xml:space="preserve">フルスクラッチ</t>
    </r>
    <r>
      <rPr>
        <b val="true"/>
        <sz val="10"/>
        <color rgb="FFFFFFFF"/>
        <rFont val="Arial"/>
        <family val="0"/>
        <charset val="1"/>
      </rPr>
      <t xml:space="preserve">PaaS</t>
    </r>
    <r>
      <rPr>
        <b val="true"/>
        <sz val="10"/>
        <color rgb="FFFFFFFF"/>
        <rFont val="Noto Sans CJK SC"/>
        <family val="2"/>
      </rPr>
      <t xml:space="preserve">構築備考</t>
    </r>
  </si>
  <si>
    <t xml:space="preserve">基本</t>
  </si>
  <si>
    <r>
      <rPr>
        <sz val="10"/>
        <rFont val="Noto Sans CJK SC"/>
        <family val="2"/>
      </rPr>
      <t xml:space="preserve">アカウント種類毎</t>
    </r>
    <r>
      <rPr>
        <sz val="10"/>
        <rFont val="Arial"/>
        <family val="0"/>
        <charset val="1"/>
      </rPr>
      <t xml:space="preserve">(</t>
    </r>
    <r>
      <rPr>
        <sz val="10"/>
        <rFont val="Noto Sans CJK SC"/>
        <family val="2"/>
      </rPr>
      <t xml:space="preserve">管理者</t>
    </r>
    <r>
      <rPr>
        <sz val="10"/>
        <rFont val="Arial"/>
        <family val="0"/>
        <charset val="1"/>
      </rPr>
      <t xml:space="preserve">/</t>
    </r>
    <r>
      <rPr>
        <sz val="10"/>
        <rFont val="Noto Sans CJK SC"/>
        <family val="2"/>
      </rPr>
      <t xml:space="preserve">各所管理者</t>
    </r>
    <r>
      <rPr>
        <sz val="10"/>
        <rFont val="Arial"/>
        <family val="0"/>
        <charset val="1"/>
      </rPr>
      <t xml:space="preserve">/</t>
    </r>
    <r>
      <rPr>
        <sz val="10"/>
        <rFont val="Noto Sans CJK SC"/>
        <family val="2"/>
      </rPr>
      <t xml:space="preserve">一般職員</t>
    </r>
    <r>
      <rPr>
        <sz val="10"/>
        <rFont val="Arial"/>
        <family val="0"/>
        <charset val="1"/>
      </rPr>
      <t xml:space="preserve">/</t>
    </r>
    <r>
      <rPr>
        <sz val="10"/>
        <rFont val="Noto Sans CJK SC"/>
        <family val="2"/>
      </rPr>
      <t xml:space="preserve">委託業者</t>
    </r>
    <r>
      <rPr>
        <sz val="10"/>
        <rFont val="Arial"/>
        <family val="0"/>
        <charset val="1"/>
      </rPr>
      <t xml:space="preserve">/</t>
    </r>
    <r>
      <rPr>
        <sz val="10"/>
        <rFont val="Noto Sans CJK SC"/>
        <family val="2"/>
      </rPr>
      <t xml:space="preserve">協定管理者</t>
    </r>
    <r>
      <rPr>
        <sz val="10"/>
        <rFont val="Arial"/>
        <family val="0"/>
        <charset val="1"/>
      </rPr>
      <t xml:space="preserve">/</t>
    </r>
    <r>
      <rPr>
        <sz val="10"/>
        <rFont val="Noto Sans CJK SC"/>
        <family val="2"/>
      </rPr>
      <t xml:space="preserve">その他</t>
    </r>
    <r>
      <rPr>
        <sz val="10"/>
        <rFont val="Arial"/>
        <family val="0"/>
        <charset val="1"/>
      </rPr>
      <t xml:space="preserve">)</t>
    </r>
    <r>
      <rPr>
        <sz val="10"/>
        <rFont val="Noto Sans CJK SC"/>
        <family val="2"/>
      </rPr>
      <t xml:space="preserve">に利用権限を設定できること</t>
    </r>
  </si>
  <si>
    <t xml:space="preserve">○</t>
  </si>
  <si>
    <r>
      <rPr>
        <sz val="10"/>
        <rFont val="Noto Sans CJK SC"/>
        <family val="2"/>
      </rPr>
      <t xml:space="preserve">アカウント種別自体は標準対応するが、</t>
    </r>
    <r>
      <rPr>
        <sz val="10"/>
        <rFont val="Arial"/>
        <family val="0"/>
        <charset val="1"/>
      </rPr>
      <t xml:space="preserve">6</t>
    </r>
    <r>
      <rPr>
        <sz val="10"/>
        <rFont val="Noto Sans CJK SC"/>
        <family val="2"/>
      </rPr>
      <t xml:space="preserve">区分の細かい権限粒度は個別確認が必要</t>
    </r>
  </si>
  <si>
    <t xml:space="preserve">◎</t>
  </si>
  <si>
    <r>
      <rPr>
        <sz val="10"/>
        <rFont val="Arial"/>
        <family val="0"/>
        <charset val="1"/>
      </rPr>
      <t xml:space="preserve">kintone</t>
    </r>
    <r>
      <rPr>
        <sz val="10"/>
        <rFont val="Noto Sans CJK SC"/>
        <family val="2"/>
      </rPr>
      <t xml:space="preserve">のアプリ単位アクセス権・スペース権限で柔軟に設定可能</t>
    </r>
  </si>
  <si>
    <t xml:space="preserve">要件通り自由設計できるが実装工数が発生</t>
  </si>
  <si>
    <t xml:space="preserve">アカウントの登録、変更、停止ができること</t>
  </si>
  <si>
    <t xml:space="preserve">標準機能で対応可能</t>
  </si>
  <si>
    <t xml:space="preserve">要開発</t>
  </si>
  <si>
    <t xml:space="preserve">システム管理者アカウントは、アカウント種類毎に利用権限を追加、変更できること</t>
  </si>
  <si>
    <t xml:space="preserve">△</t>
  </si>
  <si>
    <t xml:space="preserve">管理者側でのきめ細かい権限体系カスタマイズは製品仕様に依存、要ベンダー確認</t>
  </si>
  <si>
    <r>
      <rPr>
        <sz val="10"/>
        <rFont val="Arial"/>
        <family val="0"/>
        <charset val="1"/>
      </rPr>
      <t xml:space="preserve">kintone</t>
    </r>
    <r>
      <rPr>
        <sz val="10"/>
        <rFont val="Noto Sans CJK SC"/>
        <family val="2"/>
      </rPr>
      <t xml:space="preserve">管理者権限で柔軟に設定変更可能</t>
    </r>
  </si>
  <si>
    <t xml:space="preserve">メニュー画面はアカウント種類毎に表示を変えること</t>
  </si>
  <si>
    <t xml:space="preserve">対応可否は製品仕様次第、要確認</t>
  </si>
  <si>
    <t xml:space="preserve">アプリ・ポータル単位でビュー切替の設計が必要</t>
  </si>
  <si>
    <t xml:space="preserve">メニュー画面はシステムで利用可能な内容を網羅すること</t>
  </si>
  <si>
    <r>
      <rPr>
        <sz val="10"/>
        <rFont val="Noto Sans CJK SC"/>
        <family val="2"/>
      </rPr>
      <t xml:space="preserve">標準</t>
    </r>
    <r>
      <rPr>
        <sz val="10"/>
        <rFont val="Arial"/>
        <family val="0"/>
        <charset val="1"/>
      </rPr>
      <t xml:space="preserve">UI</t>
    </r>
    <r>
      <rPr>
        <sz val="10"/>
        <rFont val="Noto Sans CJK SC"/>
        <family val="2"/>
      </rPr>
      <t xml:space="preserve">に準拠</t>
    </r>
  </si>
  <si>
    <t xml:space="preserve">ポータル設計で対応</t>
  </si>
  <si>
    <t xml:space="preserve">台帳</t>
  </si>
  <si>
    <r>
      <rPr>
        <sz val="10"/>
        <rFont val="Noto Sans CJK SC"/>
        <family val="2"/>
      </rPr>
      <t xml:space="preserve">樹木に関する情報</t>
    </r>
    <r>
      <rPr>
        <sz val="10"/>
        <rFont val="Arial"/>
        <family val="0"/>
        <charset val="1"/>
      </rPr>
      <t xml:space="preserve">(</t>
    </r>
    <r>
      <rPr>
        <sz val="10"/>
        <rFont val="Noto Sans CJK SC"/>
        <family val="2"/>
      </rPr>
      <t xml:space="preserve">個体情報、樹木診断結果、作業履歴、その他</t>
    </r>
    <r>
      <rPr>
        <sz val="10"/>
        <rFont val="Arial"/>
        <family val="0"/>
        <charset val="1"/>
      </rPr>
      <t xml:space="preserve">)</t>
    </r>
    <r>
      <rPr>
        <sz val="10"/>
        <rFont val="Noto Sans CJK SC"/>
        <family val="2"/>
      </rPr>
      <t xml:space="preserve">が登録できること</t>
    </r>
  </si>
  <si>
    <t xml:space="preserve">東京都診断カルテ様式に標準対応、本業務の主機能</t>
  </si>
  <si>
    <r>
      <rPr>
        <sz val="10"/>
        <rFont val="Arial"/>
        <family val="0"/>
        <charset val="1"/>
      </rPr>
      <t xml:space="preserve">kintone</t>
    </r>
    <r>
      <rPr>
        <sz val="10"/>
        <rFont val="Noto Sans CJK SC"/>
        <family val="2"/>
      </rPr>
      <t xml:space="preserve">フォームで柔軟に項目定義可能</t>
    </r>
  </si>
  <si>
    <t xml:space="preserve">要件通り設計可能だが工数大</t>
  </si>
  <si>
    <t xml:space="preserve">作業履歴は蓄積、閲覧ができること</t>
  </si>
  <si>
    <t xml:space="preserve">標準機能</t>
  </si>
  <si>
    <t xml:space="preserve">レコード履歴機能で標準対応</t>
  </si>
  <si>
    <t xml:space="preserve">登録情報は職員が編集できること</t>
  </si>
  <si>
    <t xml:space="preserve">編集権限の粒度は要確認</t>
  </si>
  <si>
    <t xml:space="preserve">アクセス権設定で対応</t>
  </si>
  <si>
    <t xml:space="preserve">樹木の作業前後の写真を登録できること</t>
  </si>
  <si>
    <t xml:space="preserve">診断カルテの被害部写真運用が標準機能</t>
  </si>
  <si>
    <t xml:space="preserve">添付ファイルフィールドで標準対応</t>
  </si>
  <si>
    <t xml:space="preserve">台帳更新履歴を記録、参照できること</t>
  </si>
  <si>
    <t xml:space="preserve">製品によりログ粒度が異なる、要確認</t>
  </si>
  <si>
    <t xml:space="preserve">更新履歴機能が標準搭載</t>
  </si>
  <si>
    <r>
      <rPr>
        <sz val="10"/>
        <rFont val="Noto Sans CJK SC"/>
        <family val="2"/>
      </rPr>
      <t xml:space="preserve">特定の形式</t>
    </r>
    <r>
      <rPr>
        <sz val="10"/>
        <rFont val="Arial"/>
        <family val="0"/>
        <charset val="1"/>
      </rPr>
      <t xml:space="preserve">(CSV</t>
    </r>
    <r>
      <rPr>
        <sz val="10"/>
        <rFont val="Noto Sans CJK SC"/>
        <family val="2"/>
      </rPr>
      <t xml:space="preserve">、</t>
    </r>
    <r>
      <rPr>
        <sz val="10"/>
        <rFont val="Arial"/>
        <family val="0"/>
        <charset val="1"/>
      </rPr>
      <t xml:space="preserve">Excel</t>
    </r>
    <r>
      <rPr>
        <sz val="10"/>
        <rFont val="Noto Sans CJK SC"/>
        <family val="2"/>
      </rPr>
      <t xml:space="preserve">、</t>
    </r>
    <r>
      <rPr>
        <sz val="10"/>
        <rFont val="Arial"/>
        <family val="0"/>
        <charset val="1"/>
      </rPr>
      <t xml:space="preserve">PDF</t>
    </r>
    <r>
      <rPr>
        <sz val="10"/>
        <rFont val="Noto Sans CJK SC"/>
        <family val="2"/>
      </rPr>
      <t xml:space="preserve">など</t>
    </r>
    <r>
      <rPr>
        <sz val="10"/>
        <rFont val="Arial"/>
        <family val="0"/>
        <charset val="1"/>
      </rPr>
      <t xml:space="preserve">)</t>
    </r>
    <r>
      <rPr>
        <sz val="10"/>
        <rFont val="Noto Sans CJK SC"/>
        <family val="2"/>
      </rPr>
      <t xml:space="preserve">で取込、出力ができること</t>
    </r>
  </si>
  <si>
    <r>
      <rPr>
        <sz val="10"/>
        <rFont val="Arial"/>
        <family val="0"/>
        <charset val="1"/>
      </rPr>
      <t xml:space="preserve">Excel/PDF</t>
    </r>
    <r>
      <rPr>
        <sz val="10"/>
        <rFont val="Noto Sans CJK SC"/>
        <family val="2"/>
      </rPr>
      <t xml:space="preserve">帳票の入出力が製品の強み</t>
    </r>
  </si>
  <si>
    <r>
      <rPr>
        <sz val="10"/>
        <rFont val="Arial"/>
        <family val="0"/>
        <charset val="1"/>
      </rPr>
      <t xml:space="preserve">CSV</t>
    </r>
    <r>
      <rPr>
        <sz val="10"/>
        <rFont val="Noto Sans CJK SC"/>
        <family val="2"/>
      </rPr>
      <t xml:space="preserve">連携・</t>
    </r>
    <r>
      <rPr>
        <sz val="10"/>
        <rFont val="Arial"/>
        <family val="0"/>
        <charset val="1"/>
      </rPr>
      <t xml:space="preserve">kintone PDF</t>
    </r>
    <r>
      <rPr>
        <sz val="10"/>
        <rFont val="Noto Sans CJK SC"/>
        <family val="2"/>
      </rPr>
      <t xml:space="preserve">出力プラグイン等で標準対応</t>
    </r>
  </si>
  <si>
    <t xml:space="preserve">将来的に構築を予定している外部公開用システムとの連携を見据え、必要なデータを容易に抽出・連携できるデータ構造及びシステム構成とすること</t>
  </si>
  <si>
    <r>
      <rPr>
        <sz val="10"/>
        <rFont val="Noto Sans CJK SC"/>
        <family val="2"/>
      </rPr>
      <t xml:space="preserve">外部公開システムとの</t>
    </r>
    <r>
      <rPr>
        <sz val="10"/>
        <rFont val="Arial"/>
        <family val="0"/>
        <charset val="1"/>
      </rPr>
      <t xml:space="preserve">API</t>
    </r>
    <r>
      <rPr>
        <sz val="10"/>
        <rFont val="Noto Sans CJK SC"/>
        <family val="2"/>
      </rPr>
      <t xml:space="preserve">連携は個別開発が必要な場合が多い</t>
    </r>
  </si>
  <si>
    <r>
      <rPr>
        <sz val="10"/>
        <rFont val="Arial"/>
        <family val="0"/>
        <charset val="1"/>
      </rPr>
      <t xml:space="preserve">REST API</t>
    </r>
    <r>
      <rPr>
        <sz val="10"/>
        <rFont val="Noto Sans CJK SC"/>
        <family val="2"/>
      </rPr>
      <t xml:space="preserve">連携が標準機能、外部システムとの連携性が高い</t>
    </r>
  </si>
  <si>
    <t xml:space="preserve">自由設計のため要件に最適化しやすい</t>
  </si>
  <si>
    <t xml:space="preserve">陳情、作業の予定、進捗状況、履歴を一覧やカレンダーで確認ができること、また期間を指定して検索ができること</t>
  </si>
  <si>
    <t xml:space="preserve">簡易的なカレンダー機能にとどまる製品が多い、要確認</t>
  </si>
  <si>
    <r>
      <rPr>
        <sz val="10"/>
        <rFont val="Arial"/>
        <family val="0"/>
        <charset val="1"/>
      </rPr>
      <t xml:space="preserve">kintone</t>
    </r>
    <r>
      <rPr>
        <sz val="10"/>
        <rFont val="Noto Sans CJK SC"/>
        <family val="2"/>
      </rPr>
      <t xml:space="preserve">カレンダービュー・期間検索が標準機能</t>
    </r>
  </si>
  <si>
    <t xml:space="preserve">備考欄に植替えの経緯などの補足情報を自由に記録できること</t>
  </si>
  <si>
    <r>
      <rPr>
        <sz val="10"/>
        <rFont val="Noto Sans CJK SC"/>
        <family val="2"/>
      </rPr>
      <t xml:space="preserve">診断カルテ</t>
    </r>
    <r>
      <rPr>
        <sz val="10"/>
        <rFont val="Arial"/>
        <family val="0"/>
        <charset val="1"/>
      </rPr>
      <t xml:space="preserve">(PDF)</t>
    </r>
    <r>
      <rPr>
        <sz val="10"/>
        <rFont val="Noto Sans CJK SC"/>
        <family val="2"/>
      </rPr>
      <t xml:space="preserve">等の添付ファイルを保存できること</t>
    </r>
  </si>
  <si>
    <t xml:space="preserve">本業務の主機能</t>
  </si>
  <si>
    <t xml:space="preserve">植替え前の樹木番号を引き継ぎ、新規に樹木情報を登録できること</t>
  </si>
  <si>
    <t xml:space="preserve">運用ルールの作り込みが必要</t>
  </si>
  <si>
    <t xml:space="preserve">レコード複製・関連レコード機能で対応可能</t>
  </si>
  <si>
    <t xml:space="preserve">植替え前の樹木情報を保管できること</t>
  </si>
  <si>
    <t xml:space="preserve">運用ルール次第で対応</t>
  </si>
  <si>
    <t xml:space="preserve">履歴レコードとして保管可能</t>
  </si>
  <si>
    <t xml:space="preserve">削除したデータも履歴情報として保管できること</t>
  </si>
  <si>
    <t xml:space="preserve">論理削除機能の有無は製品次第、要確認</t>
  </si>
  <si>
    <r>
      <rPr>
        <sz val="10"/>
        <rFont val="Noto Sans CJK SC"/>
        <family val="2"/>
      </rPr>
      <t xml:space="preserve">論理削除の実装が必要</t>
    </r>
    <r>
      <rPr>
        <sz val="10"/>
        <rFont val="Arial"/>
        <family val="0"/>
        <charset val="1"/>
      </rPr>
      <t xml:space="preserve">(</t>
    </r>
    <r>
      <rPr>
        <sz val="10"/>
        <rFont val="Noto Sans CJK SC"/>
        <family val="2"/>
      </rPr>
      <t xml:space="preserve">標準は物理削除に近い製品もある</t>
    </r>
    <r>
      <rPr>
        <sz val="10"/>
        <rFont val="Arial"/>
        <family val="0"/>
        <charset val="1"/>
      </rPr>
      <t xml:space="preserve">)</t>
    </r>
  </si>
  <si>
    <t xml:space="preserve">台帳の各項目毎に絞り込み検索ができること</t>
  </si>
  <si>
    <t xml:space="preserve">検索機能の柔軟性は製品次第</t>
  </si>
  <si>
    <t xml:space="preserve">絞り込み検索・一覧ビューが標準機能</t>
  </si>
  <si>
    <r>
      <rPr>
        <sz val="10"/>
        <rFont val="Noto Sans CJK SC"/>
        <family val="2"/>
      </rPr>
      <t xml:space="preserve">指定した期間の樹木数量</t>
    </r>
    <r>
      <rPr>
        <sz val="10"/>
        <rFont val="Arial"/>
        <family val="0"/>
        <charset val="1"/>
      </rPr>
      <t xml:space="preserve">(</t>
    </r>
    <r>
      <rPr>
        <sz val="10"/>
        <rFont val="Noto Sans CJK SC"/>
        <family val="2"/>
      </rPr>
      <t xml:space="preserve">樹種毎の本数、植樹本数、伐採本数など</t>
    </r>
    <r>
      <rPr>
        <sz val="10"/>
        <rFont val="Arial"/>
        <family val="0"/>
        <charset val="1"/>
      </rPr>
      <t xml:space="preserve">)</t>
    </r>
    <r>
      <rPr>
        <sz val="10"/>
        <rFont val="Noto Sans CJK SC"/>
        <family val="2"/>
      </rPr>
      <t xml:space="preserve">を計算できること</t>
    </r>
  </si>
  <si>
    <t xml:space="preserve">簡易集計にとどまる場合あり</t>
  </si>
  <si>
    <t xml:space="preserve">グラフ・集計機能またはクエリで対応可能</t>
  </si>
  <si>
    <t xml:space="preserve">街路樹管理委託業者アカウントから閲覧、作業履歴の登録ができること</t>
  </si>
  <si>
    <t xml:space="preserve">委託業者との情報共有が製品の主用途</t>
  </si>
  <si>
    <t xml:space="preserve">ゲストアクセス権機能で標準対応</t>
  </si>
  <si>
    <t xml:space="preserve">現地からスマートフォンで登録ができること</t>
  </si>
  <si>
    <r>
      <rPr>
        <sz val="10"/>
        <rFont val="Noto Sans CJK SC"/>
        <family val="2"/>
      </rPr>
      <t xml:space="preserve">タブレット</t>
    </r>
    <r>
      <rPr>
        <sz val="10"/>
        <rFont val="Arial"/>
        <family val="0"/>
        <charset val="1"/>
      </rPr>
      <t xml:space="preserve">/</t>
    </r>
    <r>
      <rPr>
        <sz val="10"/>
        <rFont val="Noto Sans CJK SC"/>
        <family val="2"/>
      </rPr>
      <t xml:space="preserve">スマホでの現地入力が製品の強み</t>
    </r>
  </si>
  <si>
    <r>
      <rPr>
        <sz val="10"/>
        <rFont val="Arial"/>
        <family val="0"/>
        <charset val="1"/>
      </rPr>
      <t xml:space="preserve">ArcGIS Field Maps</t>
    </r>
    <r>
      <rPr>
        <sz val="10"/>
        <rFont val="Noto Sans CJK SC"/>
        <family val="2"/>
      </rPr>
      <t xml:space="preserve">で対応可能、</t>
    </r>
    <r>
      <rPr>
        <sz val="10"/>
        <rFont val="Arial"/>
        <family val="0"/>
        <charset val="1"/>
      </rPr>
      <t xml:space="preserve">kintone</t>
    </r>
    <r>
      <rPr>
        <sz val="10"/>
        <rFont val="Noto Sans CJK SC"/>
        <family val="2"/>
      </rPr>
      <t xml:space="preserve">との連携設計が必要</t>
    </r>
  </si>
  <si>
    <t xml:space="preserve">未入力や入力形式誤りを検知してエラー表示ができること</t>
  </si>
  <si>
    <t xml:space="preserve">バリデーション機能の有無は製品次第</t>
  </si>
  <si>
    <t xml:space="preserve">必須項目・入力規則機能が標準搭載</t>
  </si>
  <si>
    <t xml:space="preserve">定期点検や作業の予定を登録できること</t>
  </si>
  <si>
    <t xml:space="preserve">点検・作業予定管理は簡易的な製品が多い、要確認</t>
  </si>
  <si>
    <r>
      <rPr>
        <sz val="10"/>
        <rFont val="Arial"/>
        <family val="0"/>
        <charset val="1"/>
      </rPr>
      <t xml:space="preserve">kintone</t>
    </r>
    <r>
      <rPr>
        <sz val="10"/>
        <rFont val="Noto Sans CJK SC"/>
        <family val="2"/>
      </rPr>
      <t xml:space="preserve">のタスク・予定管理アプリで標準対応</t>
    </r>
  </si>
  <si>
    <r>
      <rPr>
        <sz val="10"/>
        <rFont val="Noto Sans CJK SC"/>
        <family val="2"/>
      </rPr>
      <t xml:space="preserve">指定した期間の作業予定簿内訳を所定の様式で作成でき、また特定の形式</t>
    </r>
    <r>
      <rPr>
        <sz val="10"/>
        <rFont val="Arial"/>
        <family val="0"/>
        <charset val="1"/>
      </rPr>
      <t xml:space="preserve">(CSV</t>
    </r>
    <r>
      <rPr>
        <sz val="10"/>
        <rFont val="Noto Sans CJK SC"/>
        <family val="2"/>
      </rPr>
      <t xml:space="preserve">、</t>
    </r>
    <r>
      <rPr>
        <sz val="10"/>
        <rFont val="Arial"/>
        <family val="0"/>
        <charset val="1"/>
      </rPr>
      <t xml:space="preserve">Excel</t>
    </r>
    <r>
      <rPr>
        <sz val="10"/>
        <rFont val="Noto Sans CJK SC"/>
        <family val="2"/>
      </rPr>
      <t xml:space="preserve">、</t>
    </r>
    <r>
      <rPr>
        <sz val="10"/>
        <rFont val="Arial"/>
        <family val="0"/>
        <charset val="1"/>
      </rPr>
      <t xml:space="preserve">PDF</t>
    </r>
    <r>
      <rPr>
        <sz val="10"/>
        <rFont val="Noto Sans CJK SC"/>
        <family val="2"/>
      </rPr>
      <t xml:space="preserve">など</t>
    </r>
    <r>
      <rPr>
        <sz val="10"/>
        <rFont val="Arial"/>
        <family val="0"/>
        <charset val="1"/>
      </rPr>
      <t xml:space="preserve">)</t>
    </r>
    <r>
      <rPr>
        <sz val="10"/>
        <rFont val="Noto Sans CJK SC"/>
        <family val="2"/>
      </rPr>
      <t xml:space="preserve">で出力できること</t>
    </r>
  </si>
  <si>
    <t xml:space="preserve">所定様式への自動整形は個別開発の可能性</t>
  </si>
  <si>
    <t xml:space="preserve">帳票プラグインで対応可能、様式再現は個別開発の場合あり</t>
  </si>
  <si>
    <t xml:space="preserve">地図</t>
  </si>
  <si>
    <t xml:space="preserve">樹木はポイントで表示できること</t>
  </si>
  <si>
    <r>
      <rPr>
        <sz val="10"/>
        <rFont val="Arial"/>
        <family val="0"/>
        <charset val="1"/>
      </rPr>
      <t xml:space="preserve">GIS</t>
    </r>
    <r>
      <rPr>
        <sz val="10"/>
        <rFont val="Noto Sans CJK SC"/>
        <family val="2"/>
      </rPr>
      <t xml:space="preserve">表示が製品の主機能</t>
    </r>
  </si>
  <si>
    <r>
      <rPr>
        <sz val="10"/>
        <rFont val="Arial"/>
        <family val="0"/>
        <charset val="1"/>
      </rPr>
      <t xml:space="preserve">ArcGIS</t>
    </r>
    <r>
      <rPr>
        <sz val="10"/>
        <rFont val="Noto Sans CJK SC"/>
        <family val="2"/>
      </rPr>
      <t xml:space="preserve">の標準機能</t>
    </r>
  </si>
  <si>
    <r>
      <rPr>
        <sz val="10"/>
        <rFont val="Noto Sans CJK SC"/>
        <family val="2"/>
      </rPr>
      <t xml:space="preserve">要開発</t>
    </r>
    <r>
      <rPr>
        <sz val="10"/>
        <rFont val="Arial"/>
        <family val="0"/>
        <charset val="1"/>
      </rPr>
      <t xml:space="preserve">(</t>
    </r>
    <r>
      <rPr>
        <sz val="10"/>
        <rFont val="Noto Sans CJK SC"/>
        <family val="2"/>
      </rPr>
      <t xml:space="preserve">地図</t>
    </r>
    <r>
      <rPr>
        <sz val="10"/>
        <rFont val="Arial"/>
        <family val="0"/>
        <charset val="1"/>
      </rPr>
      <t xml:space="preserve">API</t>
    </r>
    <r>
      <rPr>
        <sz val="10"/>
        <rFont val="Noto Sans CJK SC"/>
        <family val="2"/>
      </rPr>
      <t xml:space="preserve">組込み</t>
    </r>
    <r>
      <rPr>
        <sz val="10"/>
        <rFont val="Arial"/>
        <family val="0"/>
        <charset val="1"/>
      </rPr>
      <t xml:space="preserve">)</t>
    </r>
  </si>
  <si>
    <t xml:space="preserve">マウスカーソルが樹木のポイント上にある時、樹木番号を表示できること</t>
  </si>
  <si>
    <t xml:space="preserve">ポップアップ機能で標準対応</t>
  </si>
  <si>
    <t xml:space="preserve">樹木のポイントをクリックすると樹木情報画面に遷移すること</t>
  </si>
  <si>
    <r>
      <rPr>
        <sz val="10"/>
        <rFont val="Arial"/>
        <family val="0"/>
        <charset val="1"/>
      </rPr>
      <t xml:space="preserve">GIS</t>
    </r>
    <r>
      <rPr>
        <sz val="10"/>
        <rFont val="Noto Sans CJK SC"/>
        <family val="2"/>
      </rPr>
      <t xml:space="preserve">と</t>
    </r>
    <r>
      <rPr>
        <sz val="10"/>
        <rFont val="Arial"/>
        <family val="0"/>
        <charset val="1"/>
      </rPr>
      <t xml:space="preserve">kintone</t>
    </r>
    <r>
      <rPr>
        <sz val="10"/>
        <rFont val="Noto Sans CJK SC"/>
        <family val="2"/>
      </rPr>
      <t xml:space="preserve">の画面連携設計が必要</t>
    </r>
  </si>
  <si>
    <t xml:space="preserve">樹木を地図上で登録できること</t>
  </si>
  <si>
    <t xml:space="preserve">ドラッグで位置を修正できること</t>
  </si>
  <si>
    <t xml:space="preserve">対応可否は製品仕様次第</t>
  </si>
  <si>
    <r>
      <rPr>
        <sz val="10"/>
        <rFont val="Noto Sans CJK SC"/>
        <family val="2"/>
      </rPr>
      <t xml:space="preserve">ドラッグ先で、位置情報</t>
    </r>
    <r>
      <rPr>
        <sz val="10"/>
        <rFont val="Arial"/>
        <family val="0"/>
        <charset val="1"/>
      </rPr>
      <t xml:space="preserve">(</t>
    </r>
    <r>
      <rPr>
        <sz val="10"/>
        <rFont val="Noto Sans CJK SC"/>
        <family val="2"/>
      </rPr>
      <t xml:space="preserve">緯度経度</t>
    </r>
    <r>
      <rPr>
        <sz val="10"/>
        <rFont val="Arial"/>
        <family val="0"/>
        <charset val="1"/>
      </rPr>
      <t xml:space="preserve">)</t>
    </r>
    <r>
      <rPr>
        <sz val="10"/>
        <rFont val="Noto Sans CJK SC"/>
        <family val="2"/>
      </rPr>
      <t xml:space="preserve">を取得できること</t>
    </r>
  </si>
  <si>
    <r>
      <rPr>
        <sz val="10"/>
        <rFont val="Noto Sans CJK SC"/>
        <family val="2"/>
      </rPr>
      <t xml:space="preserve">樹木の新設、撤去に応じて地図表示を変更できること</t>
    </r>
    <r>
      <rPr>
        <sz val="10"/>
        <rFont val="Arial"/>
        <family val="0"/>
        <charset val="1"/>
      </rPr>
      <t xml:space="preserve">(</t>
    </r>
    <r>
      <rPr>
        <sz val="10"/>
        <rFont val="Noto Sans CJK SC"/>
        <family val="2"/>
      </rPr>
      <t xml:space="preserve">管理者アカウント</t>
    </r>
    <r>
      <rPr>
        <sz val="10"/>
        <rFont val="Arial"/>
        <family val="0"/>
        <charset val="1"/>
      </rPr>
      <t xml:space="preserve">)</t>
    </r>
  </si>
  <si>
    <t xml:space="preserve">管理者限定の表示制御は製品仕様に依存</t>
  </si>
  <si>
    <t xml:space="preserve">権限設定とレイヤー制御の組み合わせで対応</t>
  </si>
  <si>
    <t xml:space="preserve">スマートフォン等から位置情報を自動取得できること</t>
  </si>
  <si>
    <t xml:space="preserve">現地入力機能の一部として標準対応</t>
  </si>
  <si>
    <r>
      <rPr>
        <sz val="10"/>
        <rFont val="Arial"/>
        <family val="0"/>
        <charset val="1"/>
      </rPr>
      <t xml:space="preserve">ArcGIS Field Maps</t>
    </r>
    <r>
      <rPr>
        <sz val="10"/>
        <rFont val="Noto Sans CJK SC"/>
        <family val="2"/>
      </rPr>
      <t xml:space="preserve">の</t>
    </r>
    <r>
      <rPr>
        <sz val="10"/>
        <rFont val="Arial"/>
        <family val="0"/>
        <charset val="1"/>
      </rPr>
      <t xml:space="preserve">GPS</t>
    </r>
    <r>
      <rPr>
        <sz val="10"/>
        <rFont val="Noto Sans CJK SC"/>
        <family val="2"/>
      </rPr>
      <t xml:space="preserve">機能で標準対応</t>
    </r>
  </si>
  <si>
    <t xml:space="preserve">論理削除機能の有無は要確認</t>
  </si>
  <si>
    <t xml:space="preserve">論理削除の実装が必要</t>
  </si>
  <si>
    <r>
      <rPr>
        <b val="true"/>
        <sz val="11"/>
        <rFont val="Noto Sans CJK SC"/>
        <family val="2"/>
      </rPr>
      <t xml:space="preserve">【集計】評価記号ごとの件数</t>
    </r>
    <r>
      <rPr>
        <b val="true"/>
        <sz val="11"/>
        <rFont val="Arial"/>
        <family val="0"/>
        <charset val="1"/>
      </rPr>
      <t xml:space="preserve">(</t>
    </r>
    <r>
      <rPr>
        <b val="true"/>
        <sz val="11"/>
        <rFont val="Noto Sans CJK SC"/>
        <family val="2"/>
      </rPr>
      <t xml:space="preserve">全</t>
    </r>
    <r>
      <rPr>
        <b val="true"/>
        <sz val="11"/>
        <rFont val="Arial"/>
        <family val="0"/>
        <charset val="1"/>
      </rPr>
      <t xml:space="preserve">35</t>
    </r>
    <r>
      <rPr>
        <b val="true"/>
        <sz val="11"/>
        <rFont val="Noto Sans CJK SC"/>
        <family val="2"/>
      </rPr>
      <t xml:space="preserve">項目</t>
    </r>
    <r>
      <rPr>
        <b val="true"/>
        <sz val="11"/>
        <rFont val="Arial"/>
        <family val="0"/>
        <charset val="1"/>
      </rPr>
      <t xml:space="preserve">)</t>
    </r>
  </si>
  <si>
    <t xml:space="preserve">評価記号</t>
  </si>
  <si>
    <t xml:space="preserve">意味</t>
  </si>
  <si>
    <r>
      <rPr>
        <b val="true"/>
        <sz val="10"/>
        <color rgb="FFFFFFFF"/>
        <rFont val="Noto Sans CJK SC"/>
        <family val="2"/>
      </rPr>
      <t xml:space="preserve">候補</t>
    </r>
    <r>
      <rPr>
        <b val="true"/>
        <sz val="10"/>
        <color rgb="FFFFFFFF"/>
        <rFont val="Arial"/>
        <family val="0"/>
        <charset val="1"/>
      </rPr>
      <t xml:space="preserve">A_</t>
    </r>
    <r>
      <rPr>
        <b val="true"/>
        <sz val="10"/>
        <color rgb="FFFFFFFF"/>
        <rFont val="Noto Sans CJK SC"/>
        <family val="2"/>
      </rPr>
      <t xml:space="preserve">専用</t>
    </r>
    <r>
      <rPr>
        <b val="true"/>
        <sz val="10"/>
        <color rgb="FFFFFFFF"/>
        <rFont val="Arial"/>
        <family val="0"/>
        <charset val="1"/>
      </rPr>
      <t xml:space="preserve">SaaS</t>
    </r>
  </si>
  <si>
    <r>
      <rPr>
        <b val="true"/>
        <sz val="10"/>
        <color rgb="FFFFFFFF"/>
        <rFont val="Noto Sans CJK SC"/>
        <family val="2"/>
      </rPr>
      <t xml:space="preserve">候補</t>
    </r>
    <r>
      <rPr>
        <b val="true"/>
        <sz val="10"/>
        <color rgb="FFFFFFFF"/>
        <rFont val="Arial"/>
        <family val="0"/>
        <charset val="1"/>
      </rPr>
      <t xml:space="preserve">B_</t>
    </r>
    <r>
      <rPr>
        <b val="true"/>
        <sz val="10"/>
        <color rgb="FFFFFFFF"/>
        <rFont val="Noto Sans CJK SC"/>
        <family val="2"/>
      </rPr>
      <t xml:space="preserve">汎用</t>
    </r>
    <r>
      <rPr>
        <b val="true"/>
        <sz val="10"/>
        <color rgb="FFFFFFFF"/>
        <rFont val="Arial"/>
        <family val="0"/>
        <charset val="1"/>
      </rPr>
      <t xml:space="preserve">GIS+</t>
    </r>
    <r>
      <rPr>
        <b val="true"/>
        <sz val="10"/>
        <color rgb="FFFFFFFF"/>
        <rFont val="Noto Sans CJK SC"/>
        <family val="2"/>
      </rPr>
      <t xml:space="preserve">ローコード</t>
    </r>
  </si>
  <si>
    <r>
      <rPr>
        <b val="true"/>
        <sz val="10"/>
        <color rgb="FFFFFFFF"/>
        <rFont val="Noto Sans CJK SC"/>
        <family val="2"/>
      </rPr>
      <t xml:space="preserve">候補</t>
    </r>
    <r>
      <rPr>
        <b val="true"/>
        <sz val="10"/>
        <color rgb="FFFFFFFF"/>
        <rFont val="Arial"/>
        <family val="0"/>
        <charset val="1"/>
      </rPr>
      <t xml:space="preserve">C_</t>
    </r>
    <r>
      <rPr>
        <b val="true"/>
        <sz val="10"/>
        <color rgb="FFFFFFFF"/>
        <rFont val="Noto Sans CJK SC"/>
        <family val="2"/>
      </rPr>
      <t xml:space="preserve">フルスクラッチ</t>
    </r>
    <r>
      <rPr>
        <b val="true"/>
        <sz val="10"/>
        <color rgb="FFFFFFFF"/>
        <rFont val="Arial"/>
        <family val="0"/>
        <charset val="1"/>
      </rPr>
      <t xml:space="preserve">PaaS</t>
    </r>
  </si>
  <si>
    <t xml:space="preserve">標準機能でそのまま対応</t>
  </si>
  <si>
    <t xml:space="preserve">設定・軽微なカスタマイズで対応</t>
  </si>
  <si>
    <t xml:space="preserve">個別開発・要検証</t>
  </si>
  <si>
    <t xml:space="preserve">×</t>
  </si>
  <si>
    <t xml:space="preserve">対応困難</t>
  </si>
  <si>
    <r>
      <rPr>
        <b val="true"/>
        <sz val="10"/>
        <rFont val="Noto Sans CJK SC"/>
        <family val="2"/>
      </rPr>
      <t xml:space="preserve">カスタマイズ・要開発が必要な項目の割合 </t>
    </r>
    <r>
      <rPr>
        <b val="true"/>
        <sz val="10"/>
        <rFont val="Arial"/>
        <family val="0"/>
        <charset val="1"/>
      </rPr>
      <t xml:space="preserve">(○+△+×)/35</t>
    </r>
  </si>
  <si>
    <r>
      <rPr>
        <i val="true"/>
        <sz val="9"/>
        <color rgb="FF7F7F7F"/>
        <rFont val="Noto Sans CJK SC"/>
        <family val="2"/>
      </rPr>
      <t xml:space="preserve">判断基準：カスタマイズ・要開発率が概ね</t>
    </r>
    <r>
      <rPr>
        <i val="true"/>
        <sz val="9"/>
        <color rgb="FF7F7F7F"/>
        <rFont val="Arial"/>
        <family val="0"/>
        <charset val="1"/>
      </rPr>
      <t xml:space="preserve">30%</t>
    </r>
    <r>
      <rPr>
        <i val="true"/>
        <sz val="9"/>
        <color rgb="FF7F7F7F"/>
        <rFont val="Noto Sans CJK SC"/>
        <family val="2"/>
      </rPr>
      <t xml:space="preserve">を超える候補は、標準機能での対応余地が小さく、スケジュール・予算リスクが高いと判断する。</t>
    </r>
  </si>
</sst>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font>
    <font>
      <b val="true"/>
      <sz val="10"/>
      <color rgb="FFFFFFFF"/>
      <name val="Arial"/>
      <family val="0"/>
      <charset val="1"/>
    </font>
    <font>
      <sz val="10"/>
      <name val="Arial"/>
      <family val="0"/>
      <charset val="1"/>
    </font>
    <font>
      <b val="true"/>
      <sz val="10"/>
      <name val="Noto Sans CJK SC"/>
      <family val="2"/>
    </font>
    <font>
      <sz val="10"/>
      <name val="Noto Sans CJK SC"/>
      <family val="2"/>
    </font>
    <font>
      <b val="true"/>
      <sz val="11"/>
      <name val="Arial"/>
      <family val="0"/>
      <charset val="1"/>
    </font>
    <font>
      <b val="true"/>
      <sz val="11"/>
      <name val="Noto Sans CJK SC"/>
      <family val="2"/>
    </font>
    <font>
      <b val="true"/>
      <sz val="10"/>
      <name val="Arial"/>
      <family val="0"/>
      <charset val="1"/>
    </font>
    <font>
      <i val="true"/>
      <sz val="9"/>
      <color rgb="FF7F7F7F"/>
      <name val="Noto Sans CJK SC"/>
      <family val="2"/>
    </font>
    <font>
      <i val="true"/>
      <sz val="9"/>
      <color rgb="FF7F7F7F"/>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D9E1F2"/>
        <bgColor rgb="FFC6EFCE"/>
      </patternFill>
    </fill>
    <fill>
      <patternFill patternType="solid">
        <fgColor rgb="FFFFEB9C"/>
        <bgColor rgb="FFFFFFCC"/>
      </patternFill>
    </fill>
    <fill>
      <patternFill patternType="solid">
        <fgColor rgb="FFC6EFCE"/>
        <bgColor rgb="FFD9E1F2"/>
      </patternFill>
    </fill>
    <fill>
      <patternFill patternType="solid">
        <fgColor rgb="FFFFC7CE"/>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46"/>
    <col collapsed="false" customWidth="true" hidden="false" outlineLevel="0" max="4" min="4" style="0" width="10"/>
    <col collapsed="false" customWidth="true" hidden="false" outlineLevel="0" max="5" min="5" style="0" width="34"/>
    <col collapsed="false" customWidth="true" hidden="false" outlineLevel="0" max="6" min="6" style="0" width="10"/>
    <col collapsed="false" customWidth="true" hidden="false" outlineLevel="0" max="7" min="7" style="0" width="34"/>
    <col collapsed="false" customWidth="true" hidden="false" outlineLevel="0" max="8" min="8" style="0" width="10"/>
    <col collapsed="false" customWidth="true" hidden="false" outlineLevel="0" max="9" min="9" style="0" width="30"/>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44" hidden="false" customHeight="false" outlineLevel="0" collapsed="false">
      <c r="A2" s="2" t="n">
        <v>1</v>
      </c>
      <c r="B2" s="3" t="s">
        <v>9</v>
      </c>
      <c r="C2" s="4" t="s">
        <v>10</v>
      </c>
      <c r="D2" s="5" t="s">
        <v>11</v>
      </c>
      <c r="E2" s="4" t="s">
        <v>12</v>
      </c>
      <c r="F2" s="6" t="s">
        <v>13</v>
      </c>
      <c r="G2" s="7" t="s">
        <v>14</v>
      </c>
      <c r="H2" s="5" t="s">
        <v>11</v>
      </c>
      <c r="I2" s="4" t="s">
        <v>15</v>
      </c>
    </row>
    <row r="3" customFormat="false" ht="15" hidden="false" customHeight="false" outlineLevel="0" collapsed="false">
      <c r="A3" s="2" t="n">
        <v>2</v>
      </c>
      <c r="B3" s="3" t="s">
        <v>9</v>
      </c>
      <c r="C3" s="4" t="s">
        <v>16</v>
      </c>
      <c r="D3" s="6" t="s">
        <v>13</v>
      </c>
      <c r="E3" s="4" t="s">
        <v>17</v>
      </c>
      <c r="F3" s="6" t="s">
        <v>13</v>
      </c>
      <c r="G3" s="4" t="s">
        <v>17</v>
      </c>
      <c r="H3" s="5" t="s">
        <v>11</v>
      </c>
      <c r="I3" s="4" t="s">
        <v>18</v>
      </c>
    </row>
    <row r="4" customFormat="false" ht="44" hidden="false" customHeight="false" outlineLevel="0" collapsed="false">
      <c r="A4" s="2" t="n">
        <v>3</v>
      </c>
      <c r="B4" s="3" t="s">
        <v>9</v>
      </c>
      <c r="C4" s="4" t="s">
        <v>19</v>
      </c>
      <c r="D4" s="8" t="s">
        <v>20</v>
      </c>
      <c r="E4" s="4" t="s">
        <v>21</v>
      </c>
      <c r="F4" s="6" t="s">
        <v>13</v>
      </c>
      <c r="G4" s="7" t="s">
        <v>22</v>
      </c>
      <c r="H4" s="5" t="s">
        <v>11</v>
      </c>
      <c r="I4" s="4" t="s">
        <v>18</v>
      </c>
    </row>
    <row r="5" customFormat="false" ht="29.85" hidden="false" customHeight="false" outlineLevel="0" collapsed="false">
      <c r="A5" s="2" t="n">
        <v>4</v>
      </c>
      <c r="B5" s="3" t="s">
        <v>9</v>
      </c>
      <c r="C5" s="4" t="s">
        <v>23</v>
      </c>
      <c r="D5" s="5" t="s">
        <v>11</v>
      </c>
      <c r="E5" s="4" t="s">
        <v>24</v>
      </c>
      <c r="F5" s="5" t="s">
        <v>11</v>
      </c>
      <c r="G5" s="4" t="s">
        <v>25</v>
      </c>
      <c r="H5" s="5" t="s">
        <v>11</v>
      </c>
      <c r="I5" s="4" t="s">
        <v>18</v>
      </c>
    </row>
    <row r="6" customFormat="false" ht="29.85" hidden="false" customHeight="false" outlineLevel="0" collapsed="false">
      <c r="A6" s="2" t="n">
        <v>5</v>
      </c>
      <c r="B6" s="3" t="s">
        <v>9</v>
      </c>
      <c r="C6" s="4" t="s">
        <v>26</v>
      </c>
      <c r="D6" s="5" t="s">
        <v>11</v>
      </c>
      <c r="E6" s="4" t="s">
        <v>27</v>
      </c>
      <c r="F6" s="5" t="s">
        <v>11</v>
      </c>
      <c r="G6" s="4" t="s">
        <v>28</v>
      </c>
      <c r="H6" s="5" t="s">
        <v>11</v>
      </c>
      <c r="I6" s="4" t="s">
        <v>18</v>
      </c>
    </row>
    <row r="7" customFormat="false" ht="29.85" hidden="false" customHeight="false" outlineLevel="0" collapsed="false">
      <c r="A7" s="2" t="n">
        <v>6</v>
      </c>
      <c r="B7" s="3" t="s">
        <v>29</v>
      </c>
      <c r="C7" s="4" t="s">
        <v>30</v>
      </c>
      <c r="D7" s="6" t="s">
        <v>13</v>
      </c>
      <c r="E7" s="4" t="s">
        <v>31</v>
      </c>
      <c r="F7" s="6" t="s">
        <v>13</v>
      </c>
      <c r="G7" s="7" t="s">
        <v>32</v>
      </c>
      <c r="H7" s="5" t="s">
        <v>11</v>
      </c>
      <c r="I7" s="4" t="s">
        <v>33</v>
      </c>
    </row>
    <row r="8" customFormat="false" ht="15" hidden="false" customHeight="false" outlineLevel="0" collapsed="false">
      <c r="A8" s="2" t="n">
        <v>7</v>
      </c>
      <c r="B8" s="3" t="s">
        <v>29</v>
      </c>
      <c r="C8" s="4" t="s">
        <v>34</v>
      </c>
      <c r="D8" s="6" t="s">
        <v>13</v>
      </c>
      <c r="E8" s="4" t="s">
        <v>35</v>
      </c>
      <c r="F8" s="6" t="s">
        <v>13</v>
      </c>
      <c r="G8" s="4" t="s">
        <v>36</v>
      </c>
      <c r="H8" s="5" t="s">
        <v>11</v>
      </c>
      <c r="I8" s="4" t="s">
        <v>18</v>
      </c>
    </row>
    <row r="9" customFormat="false" ht="15" hidden="false" customHeight="false" outlineLevel="0" collapsed="false">
      <c r="A9" s="2" t="n">
        <v>8</v>
      </c>
      <c r="B9" s="3" t="s">
        <v>29</v>
      </c>
      <c r="C9" s="4" t="s">
        <v>37</v>
      </c>
      <c r="D9" s="5" t="s">
        <v>11</v>
      </c>
      <c r="E9" s="4" t="s">
        <v>38</v>
      </c>
      <c r="F9" s="6" t="s">
        <v>13</v>
      </c>
      <c r="G9" s="4" t="s">
        <v>39</v>
      </c>
      <c r="H9" s="5" t="s">
        <v>11</v>
      </c>
      <c r="I9" s="4" t="s">
        <v>18</v>
      </c>
    </row>
    <row r="10" customFormat="false" ht="15" hidden="false" customHeight="false" outlineLevel="0" collapsed="false">
      <c r="A10" s="2" t="n">
        <v>9</v>
      </c>
      <c r="B10" s="3" t="s">
        <v>29</v>
      </c>
      <c r="C10" s="4" t="s">
        <v>40</v>
      </c>
      <c r="D10" s="6" t="s">
        <v>13</v>
      </c>
      <c r="E10" s="4" t="s">
        <v>41</v>
      </c>
      <c r="F10" s="6" t="s">
        <v>13</v>
      </c>
      <c r="G10" s="4" t="s">
        <v>42</v>
      </c>
      <c r="H10" s="5" t="s">
        <v>11</v>
      </c>
      <c r="I10" s="4" t="s">
        <v>18</v>
      </c>
    </row>
    <row r="11" customFormat="false" ht="15" hidden="false" customHeight="false" outlineLevel="0" collapsed="false">
      <c r="A11" s="2" t="n">
        <v>10</v>
      </c>
      <c r="B11" s="3" t="s">
        <v>29</v>
      </c>
      <c r="C11" s="4" t="s">
        <v>43</v>
      </c>
      <c r="D11" s="5" t="s">
        <v>11</v>
      </c>
      <c r="E11" s="4" t="s">
        <v>44</v>
      </c>
      <c r="F11" s="6" t="s">
        <v>13</v>
      </c>
      <c r="G11" s="4" t="s">
        <v>45</v>
      </c>
      <c r="H11" s="5" t="s">
        <v>11</v>
      </c>
      <c r="I11" s="4" t="s">
        <v>18</v>
      </c>
    </row>
    <row r="12" customFormat="false" ht="29.85" hidden="false" customHeight="false" outlineLevel="0" collapsed="false">
      <c r="A12" s="2" t="n">
        <v>11</v>
      </c>
      <c r="B12" s="3" t="s">
        <v>29</v>
      </c>
      <c r="C12" s="4" t="s">
        <v>46</v>
      </c>
      <c r="D12" s="6" t="s">
        <v>13</v>
      </c>
      <c r="E12" s="7" t="s">
        <v>47</v>
      </c>
      <c r="F12" s="6" t="s">
        <v>13</v>
      </c>
      <c r="G12" s="7" t="s">
        <v>48</v>
      </c>
      <c r="H12" s="5" t="s">
        <v>11</v>
      </c>
      <c r="I12" s="4" t="s">
        <v>18</v>
      </c>
    </row>
    <row r="13" customFormat="false" ht="44" hidden="false" customHeight="false" outlineLevel="0" collapsed="false">
      <c r="A13" s="2" t="n">
        <v>12</v>
      </c>
      <c r="B13" s="3" t="s">
        <v>29</v>
      </c>
      <c r="C13" s="4" t="s">
        <v>49</v>
      </c>
      <c r="D13" s="8" t="s">
        <v>20</v>
      </c>
      <c r="E13" s="4" t="s">
        <v>50</v>
      </c>
      <c r="F13" s="6" t="s">
        <v>13</v>
      </c>
      <c r="G13" s="7" t="s">
        <v>51</v>
      </c>
      <c r="H13" s="6" t="s">
        <v>13</v>
      </c>
      <c r="I13" s="4" t="s">
        <v>52</v>
      </c>
    </row>
    <row r="14" customFormat="false" ht="44" hidden="false" customHeight="false" outlineLevel="0" collapsed="false">
      <c r="A14" s="2" t="n">
        <v>13</v>
      </c>
      <c r="B14" s="3" t="s">
        <v>29</v>
      </c>
      <c r="C14" s="4" t="s">
        <v>53</v>
      </c>
      <c r="D14" s="8" t="s">
        <v>20</v>
      </c>
      <c r="E14" s="4" t="s">
        <v>54</v>
      </c>
      <c r="F14" s="6" t="s">
        <v>13</v>
      </c>
      <c r="G14" s="7" t="s">
        <v>55</v>
      </c>
      <c r="H14" s="5" t="s">
        <v>11</v>
      </c>
      <c r="I14" s="4" t="s">
        <v>18</v>
      </c>
    </row>
    <row r="15" customFormat="false" ht="29.85" hidden="false" customHeight="false" outlineLevel="0" collapsed="false">
      <c r="A15" s="2" t="n">
        <v>14</v>
      </c>
      <c r="B15" s="3" t="s">
        <v>29</v>
      </c>
      <c r="C15" s="4" t="s">
        <v>56</v>
      </c>
      <c r="D15" s="6" t="s">
        <v>13</v>
      </c>
      <c r="E15" s="4" t="s">
        <v>35</v>
      </c>
      <c r="F15" s="6" t="s">
        <v>13</v>
      </c>
      <c r="G15" s="4" t="s">
        <v>35</v>
      </c>
      <c r="H15" s="5" t="s">
        <v>11</v>
      </c>
      <c r="I15" s="4" t="s">
        <v>18</v>
      </c>
    </row>
    <row r="16" customFormat="false" ht="15" hidden="false" customHeight="false" outlineLevel="0" collapsed="false">
      <c r="A16" s="2" t="n">
        <v>15</v>
      </c>
      <c r="B16" s="3" t="s">
        <v>29</v>
      </c>
      <c r="C16" s="4" t="s">
        <v>57</v>
      </c>
      <c r="D16" s="6" t="s">
        <v>13</v>
      </c>
      <c r="E16" s="4" t="s">
        <v>58</v>
      </c>
      <c r="F16" s="6" t="s">
        <v>13</v>
      </c>
      <c r="G16" s="4" t="s">
        <v>42</v>
      </c>
      <c r="H16" s="5" t="s">
        <v>11</v>
      </c>
      <c r="I16" s="4" t="s">
        <v>18</v>
      </c>
    </row>
    <row r="17" customFormat="false" ht="29.85" hidden="false" customHeight="false" outlineLevel="0" collapsed="false">
      <c r="A17" s="2" t="n">
        <v>16</v>
      </c>
      <c r="B17" s="3" t="s">
        <v>29</v>
      </c>
      <c r="C17" s="4" t="s">
        <v>59</v>
      </c>
      <c r="D17" s="5" t="s">
        <v>11</v>
      </c>
      <c r="E17" s="4" t="s">
        <v>60</v>
      </c>
      <c r="F17" s="5" t="s">
        <v>11</v>
      </c>
      <c r="G17" s="4" t="s">
        <v>61</v>
      </c>
      <c r="H17" s="5" t="s">
        <v>11</v>
      </c>
      <c r="I17" s="4" t="s">
        <v>18</v>
      </c>
    </row>
    <row r="18" customFormat="false" ht="15" hidden="false" customHeight="false" outlineLevel="0" collapsed="false">
      <c r="A18" s="2" t="n">
        <v>17</v>
      </c>
      <c r="B18" s="3" t="s">
        <v>29</v>
      </c>
      <c r="C18" s="4" t="s">
        <v>62</v>
      </c>
      <c r="D18" s="5" t="s">
        <v>11</v>
      </c>
      <c r="E18" s="4" t="s">
        <v>63</v>
      </c>
      <c r="F18" s="5" t="s">
        <v>11</v>
      </c>
      <c r="G18" s="4" t="s">
        <v>64</v>
      </c>
      <c r="H18" s="5" t="s">
        <v>11</v>
      </c>
      <c r="I18" s="4" t="s">
        <v>18</v>
      </c>
    </row>
    <row r="19" customFormat="false" ht="29.85" hidden="false" customHeight="false" outlineLevel="0" collapsed="false">
      <c r="A19" s="2" t="n">
        <v>18</v>
      </c>
      <c r="B19" s="3" t="s">
        <v>29</v>
      </c>
      <c r="C19" s="4" t="s">
        <v>65</v>
      </c>
      <c r="D19" s="8" t="s">
        <v>20</v>
      </c>
      <c r="E19" s="4" t="s">
        <v>66</v>
      </c>
      <c r="F19" s="5" t="s">
        <v>11</v>
      </c>
      <c r="G19" s="4" t="s">
        <v>67</v>
      </c>
      <c r="H19" s="5" t="s">
        <v>11</v>
      </c>
      <c r="I19" s="4" t="s">
        <v>18</v>
      </c>
    </row>
    <row r="20" customFormat="false" ht="15" hidden="false" customHeight="false" outlineLevel="0" collapsed="false">
      <c r="A20" s="2" t="n">
        <v>19</v>
      </c>
      <c r="B20" s="3" t="s">
        <v>29</v>
      </c>
      <c r="C20" s="4" t="s">
        <v>68</v>
      </c>
      <c r="D20" s="5" t="s">
        <v>11</v>
      </c>
      <c r="E20" s="4" t="s">
        <v>69</v>
      </c>
      <c r="F20" s="6" t="s">
        <v>13</v>
      </c>
      <c r="G20" s="4" t="s">
        <v>70</v>
      </c>
      <c r="H20" s="5" t="s">
        <v>11</v>
      </c>
      <c r="I20" s="4" t="s">
        <v>18</v>
      </c>
    </row>
    <row r="21" customFormat="false" ht="29.85" hidden="false" customHeight="false" outlineLevel="0" collapsed="false">
      <c r="A21" s="2" t="n">
        <v>20</v>
      </c>
      <c r="B21" s="3" t="s">
        <v>29</v>
      </c>
      <c r="C21" s="4" t="s">
        <v>71</v>
      </c>
      <c r="D21" s="5" t="s">
        <v>11</v>
      </c>
      <c r="E21" s="4" t="s">
        <v>72</v>
      </c>
      <c r="F21" s="5" t="s">
        <v>11</v>
      </c>
      <c r="G21" s="4" t="s">
        <v>73</v>
      </c>
      <c r="H21" s="5" t="s">
        <v>11</v>
      </c>
      <c r="I21" s="4" t="s">
        <v>18</v>
      </c>
    </row>
    <row r="22" customFormat="false" ht="29.85" hidden="false" customHeight="false" outlineLevel="0" collapsed="false">
      <c r="A22" s="2" t="n">
        <v>21</v>
      </c>
      <c r="B22" s="3" t="s">
        <v>29</v>
      </c>
      <c r="C22" s="4" t="s">
        <v>74</v>
      </c>
      <c r="D22" s="6" t="s">
        <v>13</v>
      </c>
      <c r="E22" s="4" t="s">
        <v>75</v>
      </c>
      <c r="F22" s="6" t="s">
        <v>13</v>
      </c>
      <c r="G22" s="4" t="s">
        <v>76</v>
      </c>
      <c r="H22" s="5" t="s">
        <v>11</v>
      </c>
      <c r="I22" s="4" t="s">
        <v>18</v>
      </c>
    </row>
    <row r="23" customFormat="false" ht="29.85" hidden="false" customHeight="false" outlineLevel="0" collapsed="false">
      <c r="A23" s="2" t="n">
        <v>22</v>
      </c>
      <c r="B23" s="3" t="s">
        <v>29</v>
      </c>
      <c r="C23" s="4" t="s">
        <v>77</v>
      </c>
      <c r="D23" s="6" t="s">
        <v>13</v>
      </c>
      <c r="E23" s="4" t="s">
        <v>78</v>
      </c>
      <c r="F23" s="5" t="s">
        <v>11</v>
      </c>
      <c r="G23" s="7" t="s">
        <v>79</v>
      </c>
      <c r="H23" s="5" t="s">
        <v>11</v>
      </c>
      <c r="I23" s="4" t="s">
        <v>18</v>
      </c>
    </row>
    <row r="24" customFormat="false" ht="29.85" hidden="false" customHeight="false" outlineLevel="0" collapsed="false">
      <c r="A24" s="2" t="n">
        <v>23</v>
      </c>
      <c r="B24" s="3" t="s">
        <v>29</v>
      </c>
      <c r="C24" s="4" t="s">
        <v>80</v>
      </c>
      <c r="D24" s="5" t="s">
        <v>11</v>
      </c>
      <c r="E24" s="4" t="s">
        <v>81</v>
      </c>
      <c r="F24" s="6" t="s">
        <v>13</v>
      </c>
      <c r="G24" s="4" t="s">
        <v>82</v>
      </c>
      <c r="H24" s="5" t="s">
        <v>11</v>
      </c>
      <c r="I24" s="4" t="s">
        <v>18</v>
      </c>
    </row>
    <row r="25" customFormat="false" ht="29.85" hidden="false" customHeight="false" outlineLevel="0" collapsed="false">
      <c r="A25" s="2" t="n">
        <v>24</v>
      </c>
      <c r="B25" s="3" t="s">
        <v>29</v>
      </c>
      <c r="C25" s="4" t="s">
        <v>83</v>
      </c>
      <c r="D25" s="8" t="s">
        <v>20</v>
      </c>
      <c r="E25" s="4" t="s">
        <v>84</v>
      </c>
      <c r="F25" s="6" t="s">
        <v>13</v>
      </c>
      <c r="G25" s="7" t="s">
        <v>85</v>
      </c>
      <c r="H25" s="5" t="s">
        <v>11</v>
      </c>
      <c r="I25" s="4" t="s">
        <v>18</v>
      </c>
    </row>
    <row r="26" customFormat="false" ht="44" hidden="false" customHeight="false" outlineLevel="0" collapsed="false">
      <c r="A26" s="2" t="n">
        <v>25</v>
      </c>
      <c r="B26" s="3" t="s">
        <v>29</v>
      </c>
      <c r="C26" s="4" t="s">
        <v>86</v>
      </c>
      <c r="D26" s="8" t="s">
        <v>20</v>
      </c>
      <c r="E26" s="4" t="s">
        <v>87</v>
      </c>
      <c r="F26" s="5" t="s">
        <v>11</v>
      </c>
      <c r="G26" s="4" t="s">
        <v>88</v>
      </c>
      <c r="H26" s="5" t="s">
        <v>11</v>
      </c>
      <c r="I26" s="4" t="s">
        <v>18</v>
      </c>
    </row>
    <row r="27" customFormat="false" ht="15" hidden="false" customHeight="false" outlineLevel="0" collapsed="false">
      <c r="A27" s="2" t="n">
        <v>26</v>
      </c>
      <c r="B27" s="3" t="s">
        <v>89</v>
      </c>
      <c r="C27" s="4" t="s">
        <v>90</v>
      </c>
      <c r="D27" s="6" t="s">
        <v>13</v>
      </c>
      <c r="E27" s="7" t="s">
        <v>91</v>
      </c>
      <c r="F27" s="6" t="s">
        <v>13</v>
      </c>
      <c r="G27" s="7" t="s">
        <v>92</v>
      </c>
      <c r="H27" s="5" t="s">
        <v>11</v>
      </c>
      <c r="I27" s="4" t="s">
        <v>93</v>
      </c>
    </row>
    <row r="28" customFormat="false" ht="29.85" hidden="false" customHeight="false" outlineLevel="0" collapsed="false">
      <c r="A28" s="2" t="n">
        <v>27</v>
      </c>
      <c r="B28" s="3" t="s">
        <v>89</v>
      </c>
      <c r="C28" s="4" t="s">
        <v>94</v>
      </c>
      <c r="D28" s="6" t="s">
        <v>13</v>
      </c>
      <c r="E28" s="4" t="s">
        <v>35</v>
      </c>
      <c r="F28" s="6" t="s">
        <v>13</v>
      </c>
      <c r="G28" s="4" t="s">
        <v>95</v>
      </c>
      <c r="H28" s="5" t="s">
        <v>11</v>
      </c>
      <c r="I28" s="4" t="s">
        <v>18</v>
      </c>
    </row>
    <row r="29" customFormat="false" ht="29.85" hidden="false" customHeight="false" outlineLevel="0" collapsed="false">
      <c r="A29" s="2" t="n">
        <v>28</v>
      </c>
      <c r="B29" s="3" t="s">
        <v>89</v>
      </c>
      <c r="C29" s="4" t="s">
        <v>96</v>
      </c>
      <c r="D29" s="6" t="s">
        <v>13</v>
      </c>
      <c r="E29" s="4" t="s">
        <v>35</v>
      </c>
      <c r="F29" s="5" t="s">
        <v>11</v>
      </c>
      <c r="G29" s="7" t="s">
        <v>97</v>
      </c>
      <c r="H29" s="5" t="s">
        <v>11</v>
      </c>
      <c r="I29" s="4" t="s">
        <v>18</v>
      </c>
    </row>
    <row r="30" customFormat="false" ht="15" hidden="false" customHeight="false" outlineLevel="0" collapsed="false">
      <c r="A30" s="2" t="n">
        <v>29</v>
      </c>
      <c r="B30" s="3" t="s">
        <v>89</v>
      </c>
      <c r="C30" s="4" t="s">
        <v>98</v>
      </c>
      <c r="D30" s="6" t="s">
        <v>13</v>
      </c>
      <c r="E30" s="4" t="s">
        <v>35</v>
      </c>
      <c r="F30" s="6" t="s">
        <v>13</v>
      </c>
      <c r="G30" s="7" t="s">
        <v>92</v>
      </c>
      <c r="H30" s="5" t="s">
        <v>11</v>
      </c>
      <c r="I30" s="4" t="s">
        <v>18</v>
      </c>
    </row>
    <row r="31" customFormat="false" ht="15" hidden="false" customHeight="false" outlineLevel="0" collapsed="false">
      <c r="A31" s="2" t="n">
        <v>30</v>
      </c>
      <c r="B31" s="3" t="s">
        <v>89</v>
      </c>
      <c r="C31" s="4" t="s">
        <v>99</v>
      </c>
      <c r="D31" s="5" t="s">
        <v>11</v>
      </c>
      <c r="E31" s="4" t="s">
        <v>100</v>
      </c>
      <c r="F31" s="6" t="s">
        <v>13</v>
      </c>
      <c r="G31" s="7" t="s">
        <v>92</v>
      </c>
      <c r="H31" s="5" t="s">
        <v>11</v>
      </c>
      <c r="I31" s="4" t="s">
        <v>18</v>
      </c>
    </row>
    <row r="32" customFormat="false" ht="15" hidden="false" customHeight="false" outlineLevel="0" collapsed="false">
      <c r="A32" s="2" t="n">
        <v>31</v>
      </c>
      <c r="B32" s="3" t="s">
        <v>89</v>
      </c>
      <c r="C32" s="4" t="s">
        <v>101</v>
      </c>
      <c r="D32" s="6" t="s">
        <v>13</v>
      </c>
      <c r="E32" s="4" t="s">
        <v>35</v>
      </c>
      <c r="F32" s="6" t="s">
        <v>13</v>
      </c>
      <c r="G32" s="4" t="s">
        <v>35</v>
      </c>
      <c r="H32" s="5" t="s">
        <v>11</v>
      </c>
      <c r="I32" s="4" t="s">
        <v>18</v>
      </c>
    </row>
    <row r="33" customFormat="false" ht="29.85" hidden="false" customHeight="false" outlineLevel="0" collapsed="false">
      <c r="A33" s="2" t="n">
        <v>32</v>
      </c>
      <c r="B33" s="3" t="s">
        <v>89</v>
      </c>
      <c r="C33" s="4" t="s">
        <v>102</v>
      </c>
      <c r="D33" s="8" t="s">
        <v>20</v>
      </c>
      <c r="E33" s="4" t="s">
        <v>103</v>
      </c>
      <c r="F33" s="5" t="s">
        <v>11</v>
      </c>
      <c r="G33" s="4" t="s">
        <v>104</v>
      </c>
      <c r="H33" s="5" t="s">
        <v>11</v>
      </c>
      <c r="I33" s="4" t="s">
        <v>18</v>
      </c>
    </row>
    <row r="34" customFormat="false" ht="15" hidden="false" customHeight="false" outlineLevel="0" collapsed="false">
      <c r="A34" s="2" t="n">
        <v>33</v>
      </c>
      <c r="B34" s="3" t="s">
        <v>89</v>
      </c>
      <c r="C34" s="4" t="s">
        <v>105</v>
      </c>
      <c r="D34" s="6" t="s">
        <v>13</v>
      </c>
      <c r="E34" s="4" t="s">
        <v>106</v>
      </c>
      <c r="F34" s="6" t="s">
        <v>13</v>
      </c>
      <c r="G34" s="7" t="s">
        <v>107</v>
      </c>
      <c r="H34" s="5" t="s">
        <v>11</v>
      </c>
      <c r="I34" s="4" t="s">
        <v>18</v>
      </c>
    </row>
    <row r="35" customFormat="false" ht="15" hidden="false" customHeight="false" outlineLevel="0" collapsed="false">
      <c r="A35" s="2" t="n">
        <v>34</v>
      </c>
      <c r="B35" s="3" t="s">
        <v>89</v>
      </c>
      <c r="C35" s="4" t="s">
        <v>65</v>
      </c>
      <c r="D35" s="8" t="s">
        <v>20</v>
      </c>
      <c r="E35" s="4" t="s">
        <v>108</v>
      </c>
      <c r="F35" s="5" t="s">
        <v>11</v>
      </c>
      <c r="G35" s="4" t="s">
        <v>109</v>
      </c>
      <c r="H35" s="5" t="s">
        <v>11</v>
      </c>
      <c r="I35" s="4" t="s">
        <v>18</v>
      </c>
    </row>
    <row r="36" customFormat="false" ht="15" hidden="false" customHeight="false" outlineLevel="0" collapsed="false">
      <c r="A36" s="2" t="n">
        <v>35</v>
      </c>
      <c r="B36" s="3" t="s">
        <v>89</v>
      </c>
      <c r="C36" s="4" t="s">
        <v>68</v>
      </c>
      <c r="D36" s="5" t="s">
        <v>11</v>
      </c>
      <c r="E36" s="4" t="s">
        <v>69</v>
      </c>
      <c r="F36" s="6" t="s">
        <v>13</v>
      </c>
      <c r="G36" s="4" t="s">
        <v>35</v>
      </c>
      <c r="H36" s="5" t="s">
        <v>11</v>
      </c>
      <c r="I36" s="4" t="s">
        <v>18</v>
      </c>
    </row>
    <row r="39" customFormat="false" ht="17.15" hidden="false" customHeight="false" outlineLevel="0" collapsed="false">
      <c r="A39" s="9" t="s">
        <v>110</v>
      </c>
    </row>
    <row r="40" customFormat="false" ht="44" hidden="false" customHeight="false" outlineLevel="0" collapsed="false">
      <c r="A40" s="1" t="s">
        <v>111</v>
      </c>
      <c r="B40" s="1" t="s">
        <v>112</v>
      </c>
      <c r="C40" s="1" t="s">
        <v>113</v>
      </c>
      <c r="D40" s="1" t="s">
        <v>114</v>
      </c>
      <c r="E40" s="1" t="s">
        <v>115</v>
      </c>
    </row>
    <row r="41" customFormat="false" ht="15" hidden="false" customHeight="false" outlineLevel="0" collapsed="false">
      <c r="A41" s="10" t="s">
        <v>13</v>
      </c>
      <c r="B41" s="11" t="s">
        <v>116</v>
      </c>
      <c r="C41" s="12" t="n">
        <f aca="false">COUNTIF(D2:D36,"◎")</f>
        <v>15</v>
      </c>
      <c r="D41" s="12" t="n">
        <f aca="false">COUNTIF(F2:F36,"◎")</f>
        <v>24</v>
      </c>
      <c r="E41" s="12" t="n">
        <f aca="false">COUNTIF(H2:H36,"◎")</f>
        <v>1</v>
      </c>
    </row>
    <row r="42" customFormat="false" ht="15" hidden="false" customHeight="false" outlineLevel="0" collapsed="false">
      <c r="A42" s="10" t="s">
        <v>11</v>
      </c>
      <c r="B42" s="11" t="s">
        <v>117</v>
      </c>
      <c r="C42" s="12" t="n">
        <f aca="false">COUNTIF(D2:D36,"○")</f>
        <v>12</v>
      </c>
      <c r="D42" s="12" t="n">
        <f aca="false">COUNTIF(F2:F36,"○")</f>
        <v>11</v>
      </c>
      <c r="E42" s="12" t="n">
        <f aca="false">COUNTIF(H2:H36,"○")</f>
        <v>34</v>
      </c>
    </row>
    <row r="43" customFormat="false" ht="15" hidden="false" customHeight="false" outlineLevel="0" collapsed="false">
      <c r="A43" s="10" t="s">
        <v>20</v>
      </c>
      <c r="B43" s="11" t="s">
        <v>118</v>
      </c>
      <c r="C43" s="12" t="n">
        <f aca="false">COUNTIF(D2:D36,"△")</f>
        <v>8</v>
      </c>
      <c r="D43" s="12" t="n">
        <f aca="false">COUNTIF(F2:F36,"△")</f>
        <v>0</v>
      </c>
      <c r="E43" s="12" t="n">
        <f aca="false">COUNTIF(H2:H36,"△")</f>
        <v>0</v>
      </c>
    </row>
    <row r="44" customFormat="false" ht="15" hidden="false" customHeight="false" outlineLevel="0" collapsed="false">
      <c r="A44" s="10" t="s">
        <v>119</v>
      </c>
      <c r="B44" s="11" t="s">
        <v>120</v>
      </c>
      <c r="C44" s="12" t="n">
        <f aca="false">COUNTIF(D2:D36,"×")</f>
        <v>0</v>
      </c>
      <c r="D44" s="12" t="n">
        <f aca="false">COUNTIF(F2:F36,"×")</f>
        <v>0</v>
      </c>
      <c r="E44" s="12" t="n">
        <f aca="false">COUNTIF(H2:H36,"×")</f>
        <v>0</v>
      </c>
    </row>
    <row r="46" customFormat="false" ht="15" hidden="false" customHeight="false" outlineLevel="0" collapsed="false">
      <c r="A46" s="13"/>
      <c r="B46" s="14" t="s">
        <v>121</v>
      </c>
      <c r="C46" s="15" t="n">
        <f aca="false">(COUNTIF(D2:D36,"○")+COUNTIF(D2:D36,"△")+COUNTIF(D2:D36,"×"))/35</f>
        <v>0.571428571428571</v>
      </c>
      <c r="D46" s="15" t="n">
        <f aca="false">(COUNTIF(F2:F36,"○")+COUNTIF(F2:F36,"△")+COUNTIF(F2:F36,"×"))/35</f>
        <v>0.314285714285714</v>
      </c>
      <c r="E46" s="15" t="n">
        <f aca="false">(COUNTIF(H2:H36,"○")+COUNTIF(H2:H36,"△")+COUNTIF(H2:H36,"×"))/35</f>
        <v>0.971428571428571</v>
      </c>
    </row>
    <row r="48" customFormat="false" ht="14.15" hidden="false" customHeight="false" outlineLevel="0" collapsed="false">
      <c r="A48" s="16" t="s">
        <v>122</v>
      </c>
      <c r="B48" s="16"/>
      <c r="C48" s="16"/>
      <c r="D48" s="16"/>
      <c r="E48" s="16"/>
      <c r="F48" s="16"/>
      <c r="G48" s="16"/>
      <c r="H48" s="16"/>
      <c r="I48" s="16"/>
    </row>
  </sheetData>
  <mergeCells count="1">
    <mergeCell ref="A48: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2026-08-27T04:18:58Z</dcterms:created>
  <dc:creator>openpyxl</dc:creator>
  <dc:description/>
  <dc:language>en-US</dc:language>
  <cp:lastModifiedBy/>
  <dcterms:modified xsi:type="dcterms:W3CDTF">2026-08-27T04:18:58Z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