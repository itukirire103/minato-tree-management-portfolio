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非機能要件_実装可否"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Noto Sans CJK SC"/>
      <family val="2"/>
      <b val="1"/>
      <color rgb="FFFFFFFF"/>
      <sz val="10"/>
    </font>
    <font>
      <name val="Arial"/>
      <charset val="1"/>
      <family val="0"/>
      <sz val="10"/>
    </font>
    <font>
      <name val="Noto Sans CJK SC"/>
      <family val="2"/>
      <b val="1"/>
      <sz val="10"/>
    </font>
    <font>
      <name val="Noto Sans CJK SC"/>
      <family val="2"/>
      <sz val="10"/>
    </font>
    <font>
      <name val="Arial"/>
      <charset val="1"/>
      <family val="0"/>
      <b val="1"/>
      <sz val="12"/>
    </font>
    <font>
      <name val="Arial"/>
      <charset val="1"/>
      <family val="0"/>
      <b val="1"/>
      <sz val="10"/>
    </font>
    <font>
      <name val="Noto Sans CJK SC"/>
      <family val="2"/>
      <b val="1"/>
      <sz val="11"/>
    </font>
    <font>
      <name val="Arial"/>
      <charset val="1"/>
      <family val="0"/>
      <b val="1"/>
      <sz val="11"/>
    </font>
    <font>
      <name val="Noto Sans CJK SC"/>
      <family val="2"/>
      <i val="1"/>
      <color rgb="FF7F7F7F"/>
      <sz val="9"/>
    </font>
    <font>
      <name val="Arial"/>
      <charset val="1"/>
      <family val="0"/>
      <i val="1"/>
      <color rgb="FF7F7F7F"/>
      <sz val="9"/>
    </font>
  </fonts>
  <fills count="6">
    <fill>
      <patternFill/>
    </fill>
    <fill>
      <patternFill patternType="gray125"/>
    </fill>
    <fill>
      <patternFill patternType="solid">
        <fgColor rgb="FF1F4E78"/>
        <bgColor rgb="FF003366"/>
      </patternFill>
    </fill>
    <fill>
      <patternFill patternType="solid">
        <fgColor rgb="FFD9E1F2"/>
        <bgColor rgb="FFC6EFCE"/>
      </patternFill>
    </fill>
    <fill>
      <patternFill patternType="solid">
        <fgColor rgb="FFFFEB9C"/>
        <bgColor rgb="FFFFFFCC"/>
      </patternFill>
    </fill>
    <fill>
      <patternFill patternType="solid">
        <fgColor rgb="FFC6EFCE"/>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6" fillId="3" borderId="1" applyAlignment="1" pivotButton="0" quotePrefix="0" xfId="0">
      <alignment horizontal="center" vertical="center"/>
    </xf>
    <xf numFmtId="0" fontId="7" fillId="0" borderId="1" applyAlignment="1" pivotButton="0" quotePrefix="0" xfId="0">
      <alignment horizontal="general" vertical="top" wrapText="1"/>
    </xf>
    <xf numFmtId="0" fontId="8" fillId="4" borderId="1" applyAlignment="1" pivotButton="0" quotePrefix="0" xfId="0">
      <alignment horizontal="center" vertical="center"/>
    </xf>
    <xf numFmtId="0" fontId="5" fillId="0" borderId="1" applyAlignment="1" pivotButton="0" quotePrefix="0" xfId="0">
      <alignment horizontal="general" vertical="top" wrapText="1"/>
    </xf>
    <xf numFmtId="0" fontId="8" fillId="5" borderId="1" applyAlignment="1" pivotButton="0" quotePrefix="0" xfId="0">
      <alignment horizontal="center" vertical="center"/>
    </xf>
    <xf numFmtId="0" fontId="10" fillId="0" borderId="0" applyAlignment="1" pivotButton="0" quotePrefix="0" xfId="0">
      <alignment horizontal="general" vertical="bottom"/>
    </xf>
    <xf numFmtId="0" fontId="4" fillId="2" borderId="1" applyAlignment="1" pivotButton="0" quotePrefix="0" xfId="0">
      <alignment horizontal="center" vertical="bottom"/>
    </xf>
    <xf numFmtId="0" fontId="9" fillId="0" borderId="1" applyAlignment="1" pivotButton="0" quotePrefix="0" xfId="0">
      <alignment horizontal="center" vertical="bottom"/>
    </xf>
    <xf numFmtId="0" fontId="7" fillId="0" borderId="1" applyAlignment="1" pivotButton="0" quotePrefix="0" xfId="0">
      <alignment horizontal="general" vertical="bottom"/>
    </xf>
    <xf numFmtId="0" fontId="5" fillId="0" borderId="1" applyAlignment="1" pivotButton="0" quotePrefix="0" xfId="0">
      <alignment horizontal="center" vertical="bottom"/>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6" fillId="3" borderId="1" applyAlignment="1" pivotButton="0" quotePrefix="0" xfId="0">
      <alignment horizontal="center" vertical="center"/>
    </xf>
    <xf numFmtId="0" fontId="7" fillId="0" borderId="1" applyAlignment="1" pivotButton="0" quotePrefix="0" xfId="0">
      <alignment horizontal="general" vertical="top" wrapText="1"/>
    </xf>
    <xf numFmtId="0" fontId="8" fillId="4" borderId="1" applyAlignment="1" pivotButton="0" quotePrefix="0" xfId="0">
      <alignment horizontal="center" vertical="center"/>
    </xf>
    <xf numFmtId="0" fontId="5" fillId="0" borderId="1" applyAlignment="1" pivotButton="0" quotePrefix="0" xfId="0">
      <alignment horizontal="general" vertical="top" wrapText="1"/>
    </xf>
    <xf numFmtId="0" fontId="8" fillId="5" borderId="1" applyAlignment="1" pivotButton="0" quotePrefix="0" xfId="0">
      <alignment horizontal="center" vertical="center"/>
    </xf>
    <xf numFmtId="0" fontId="10" fillId="0" borderId="0" applyAlignment="1" pivotButton="0" quotePrefix="0" xfId="0">
      <alignment horizontal="general" vertical="bottom"/>
    </xf>
    <xf numFmtId="0" fontId="4" fillId="2" borderId="1" applyAlignment="1" pivotButton="0" quotePrefix="0" xfId="0">
      <alignment horizontal="center" vertical="bottom"/>
    </xf>
    <xf numFmtId="0" fontId="9" fillId="0" borderId="1" applyAlignment="1" pivotButton="0" quotePrefix="0" xfId="0">
      <alignment horizontal="center" vertical="bottom"/>
    </xf>
    <xf numFmtId="0" fontId="7" fillId="0" borderId="1" applyAlignment="1" pivotButton="0" quotePrefix="0" xfId="0">
      <alignment horizontal="general" vertical="bottom"/>
    </xf>
    <xf numFmtId="0" fontId="5" fillId="0" borderId="1" applyAlignment="1" pivotButton="0" quotePrefix="0" xfId="0">
      <alignment horizontal="center" vertical="bottom"/>
    </xf>
    <xf numFmtId="0" fontId="12"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54"/>
  <sheetViews>
    <sheetView showFormulas="0" showGridLines="1"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6" customWidth="1" style="14" min="1" max="1"/>
    <col width="16" customWidth="1" style="14" min="2" max="2"/>
    <col width="42" customWidth="1" style="14" min="3" max="3"/>
    <col width="8" customWidth="1" style="14" min="4" max="4"/>
    <col width="46" customWidth="1" style="14" min="5" max="5"/>
    <col width="22" customWidth="1" style="14" min="6" max="6"/>
  </cols>
  <sheetData>
    <row r="1" ht="21.75" customHeight="1" s="15">
      <c r="A1" s="16" t="inlineStr">
        <is>
          <t>項番</t>
        </is>
      </c>
      <c r="B1" s="16" t="inlineStr">
        <is>
          <t>分類</t>
        </is>
      </c>
      <c r="C1" s="16" t="inlineStr">
        <is>
          <t>要求内容</t>
        </is>
      </c>
      <c r="D1" s="16" t="inlineStr">
        <is>
          <t>実装可否</t>
        </is>
      </c>
      <c r="E1" s="16" t="inlineStr">
        <is>
          <t>実装方法・備考</t>
        </is>
      </c>
      <c r="F1" s="16" t="inlineStr">
        <is>
          <t>追加コスト目安</t>
        </is>
      </c>
      <c r="G1" s="14" t="inlineStr">
        <is>
          <t>実装状況(2026-08-28時点)</t>
        </is>
      </c>
      <c r="H1" s="14" t="inlineStr">
        <is>
          <t>判定根拠</t>
        </is>
      </c>
    </row>
    <row r="2" ht="29.85" customHeight="1" s="15">
      <c r="A2" s="17" t="n">
        <v>1</v>
      </c>
      <c r="B2" s="18" t="inlineStr">
        <is>
          <t>規模要件</t>
        </is>
      </c>
      <c r="C2" s="19" t="inlineStr">
        <is>
          <t>利用者：区職員、委託業者</t>
        </is>
      </c>
      <c r="D2" s="20" t="inlineStr">
        <is>
          <t>△</t>
        </is>
      </c>
      <c r="E2" s="19" t="inlineStr">
        <is>
          <t>実際は自分+テスト用ダミーアカウントで代替。6区分のロールは全て実装</t>
        </is>
      </c>
      <c r="F2" s="21" t="inlineStr">
        <is>
          <t>¥0</t>
        </is>
      </c>
      <c r="G2" s="14" t="inlineStr">
        <is>
          <t>○</t>
        </is>
      </c>
      <c r="H2" s="14" t="inlineStr">
        <is>
          <t>6区分ロールは全て実装済み(セキュリティロールとして実在)</t>
        </is>
      </c>
    </row>
    <row r="3" ht="29.85" customHeight="1" s="15">
      <c r="A3" s="17" t="n">
        <v>2</v>
      </c>
      <c r="B3" s="18" t="inlineStr">
        <is>
          <t>規模要件</t>
        </is>
      </c>
      <c r="C3" s="19" t="inlineStr">
        <is>
          <t>利用者数：30名程度</t>
        </is>
      </c>
      <c r="D3" s="20" t="inlineStr">
        <is>
          <t>△</t>
        </is>
      </c>
      <c r="E3" s="19" t="inlineStr">
        <is>
          <t>テストアカウント数名で代替。設計上は30名スケールを想定した権限設計とする</t>
        </is>
      </c>
      <c r="F3" s="21" t="inlineStr">
        <is>
          <t>¥0</t>
        </is>
      </c>
      <c r="G3" s="14" t="inlineStr">
        <is>
          <t>○</t>
        </is>
      </c>
      <c r="H3" s="14" t="inlineStr">
        <is>
          <t>権限設計は30名スケールを想定して実装済み</t>
        </is>
      </c>
    </row>
    <row r="4" ht="29.85" customHeight="1" s="15">
      <c r="A4" s="17" t="n">
        <v>3</v>
      </c>
      <c r="B4" s="18" t="inlineStr">
        <is>
          <t>規模要件</t>
        </is>
      </c>
      <c r="C4" s="19" t="inlineStr">
        <is>
          <t>同時利用：10名想定</t>
        </is>
      </c>
      <c r="D4" s="20" t="inlineStr">
        <is>
          <t>△</t>
        </is>
      </c>
      <c r="E4" s="19" t="inlineStr">
        <is>
          <t>実測は数名だが、Dataverseはエンタープライズ規模の同時アクセスを前提とした基盤</t>
        </is>
      </c>
      <c r="F4" s="21" t="inlineStr">
        <is>
          <t>¥0</t>
        </is>
      </c>
      <c r="G4" s="14" t="inlineStr">
        <is>
          <t>○</t>
        </is>
      </c>
      <c r="H4" s="14" t="inlineStr">
        <is>
          <t>Dataverse基盤自体がエンタープライズ規模の同時アクセスを前提(追加作業不要)</t>
        </is>
      </c>
    </row>
    <row r="5" ht="15" customHeight="1" s="15">
      <c r="A5" s="17" t="n">
        <v>4</v>
      </c>
      <c r="B5" s="18" t="inlineStr">
        <is>
          <t>規模要件</t>
        </is>
      </c>
      <c r="C5" s="19" t="inlineStr">
        <is>
          <t>データ量：街路樹台帳(Excel)：約5,200本</t>
        </is>
      </c>
      <c r="D5" s="20" t="inlineStr">
        <is>
          <t>△</t>
        </is>
      </c>
      <c r="E5" s="19" t="inlineStr">
        <is>
          <t>サンプル数百本で代替(合意済み)</t>
        </is>
      </c>
      <c r="F5" s="21" t="inlineStr">
        <is>
          <t>¥0</t>
        </is>
      </c>
      <c r="G5" s="14" t="inlineStr">
        <is>
          <t>○</t>
        </is>
      </c>
      <c r="H5" s="14" t="inlineStr">
        <is>
          <t>ユーザー確認: 約300本のサンプルデータ投入済み(seed_tree_data.py)</t>
        </is>
      </c>
    </row>
    <row r="6" ht="15" customHeight="1" s="15">
      <c r="A6" s="17" t="n">
        <v>5</v>
      </c>
      <c r="B6" s="18" t="inlineStr">
        <is>
          <t>規模要件</t>
        </is>
      </c>
      <c r="C6" s="19" t="inlineStr">
        <is>
          <t>データ量：診断カルテ(Excel,PDF)：約5,200本</t>
        </is>
      </c>
      <c r="D6" s="20" t="inlineStr">
        <is>
          <t>△</t>
        </is>
      </c>
      <c r="E6" s="19" t="inlineStr">
        <is>
          <t>サンプル数百件で代替(合意済み)</t>
        </is>
      </c>
      <c r="F6" s="21" t="inlineStr">
        <is>
          <t>¥0</t>
        </is>
      </c>
      <c r="G6" s="14" t="inlineStr">
        <is>
          <t>？</t>
        </is>
      </c>
      <c r="H6" s="14" t="inlineStr">
        <is>
          <t>同上、diagnosis/inspectionのサンプルデータ投入状況は未確認</t>
        </is>
      </c>
    </row>
    <row r="7" ht="15" customHeight="1" s="15">
      <c r="A7" s="17" t="n">
        <v>6</v>
      </c>
      <c r="B7" s="18" t="inlineStr">
        <is>
          <t>規模要件</t>
        </is>
      </c>
      <c r="C7" s="19" t="inlineStr">
        <is>
          <t>苦情処理・対応記録：年間約100件</t>
        </is>
      </c>
      <c r="D7" s="22" t="inlineStr">
        <is>
          <t>○</t>
        </is>
      </c>
      <c r="E7" s="19" t="inlineStr">
        <is>
          <t>サンプルデータの作成は容易</t>
        </is>
      </c>
      <c r="F7" s="21" t="inlineStr">
        <is>
          <t>¥0</t>
        </is>
      </c>
      <c r="G7" s="14" t="inlineStr">
        <is>
          <t>？</t>
        </is>
      </c>
      <c r="H7" s="14" t="inlineStr">
        <is>
          <t>complaintのサンプルデータ投入は未確認</t>
        </is>
      </c>
    </row>
    <row r="8" ht="29.85" customHeight="1" s="15">
      <c r="A8" s="17" t="n">
        <v>7</v>
      </c>
      <c r="B8" s="18" t="inlineStr">
        <is>
          <t>性能要件</t>
        </is>
      </c>
      <c r="C8" s="19" t="inlineStr">
        <is>
          <t>システムは原則24時間運用。計画停止時は事前協議・周知</t>
        </is>
      </c>
      <c r="D8" s="22" t="inlineStr">
        <is>
          <t>○</t>
        </is>
      </c>
      <c r="E8" s="21" t="inlineStr">
        <is>
          <t>Power PlatformはMicrosoft運用のSaaSとして24時間稼働。計画停止時の運用ルールを文書化</t>
        </is>
      </c>
      <c r="F8" s="21" t="inlineStr">
        <is>
          <t>¥0</t>
        </is>
      </c>
      <c r="G8" s="14" t="inlineStr">
        <is>
          <t>○</t>
        </is>
      </c>
      <c r="H8" s="14" t="inlineStr">
        <is>
          <t>Power Platform自体が24時間稼働のSaaS(追加作業不要)</t>
        </is>
      </c>
    </row>
    <row r="9" ht="29.85" customHeight="1" s="15">
      <c r="A9" s="17" t="n">
        <v>8</v>
      </c>
      <c r="B9" s="18" t="inlineStr">
        <is>
          <t>性能要件</t>
        </is>
      </c>
      <c r="C9" s="19" t="inlineStr">
        <is>
          <t>最大10名程度が同時アクセスしても支障なく利用</t>
        </is>
      </c>
      <c r="D9" s="20" t="inlineStr">
        <is>
          <t>△</t>
        </is>
      </c>
      <c r="E9" s="19" t="inlineStr">
        <is>
          <t>実トラフィックは発生しないが、負荷テストツール(例:JMeter等)で疑似アクセスを再現し検証可能</t>
        </is>
      </c>
      <c r="F9" s="21" t="inlineStr">
        <is>
          <t>¥0(OSSツール利用)</t>
        </is>
      </c>
      <c r="G9" s="14" t="inlineStr">
        <is>
          <t>◎</t>
        </is>
      </c>
      <c r="H9" s="14" t="inlineStr">
        <is>
          <t>run_load_test.py(concurrent.futuresによる疑似10並列アクセス)で実施。100リクエスト全て成功、平均応答624ms、95パーセンタイル728ms(2026-08-28)</t>
        </is>
      </c>
    </row>
    <row r="10" ht="15" customHeight="1" s="15">
      <c r="A10" s="17" t="n">
        <v>9</v>
      </c>
      <c r="B10" s="18" t="inlineStr">
        <is>
          <t>性能要件</t>
        </is>
      </c>
      <c r="C10" s="19" t="inlineStr">
        <is>
          <t>システムの運用・保守はシステム事業者が行う</t>
        </is>
      </c>
      <c r="D10" s="22" t="inlineStr">
        <is>
          <t>○</t>
        </is>
      </c>
      <c r="E10" s="19" t="inlineStr">
        <is>
          <t>自分自身が運用者となる想定で運用手順書を整備</t>
        </is>
      </c>
      <c r="F10" s="21" t="inlineStr">
        <is>
          <t>¥0</t>
        </is>
      </c>
      <c r="G10" s="14" t="inlineStr">
        <is>
          <t>✗</t>
        </is>
      </c>
      <c r="H10" s="14" t="inlineStr">
        <is>
          <t>運用手順書は未作成(該当ファイルなし)</t>
        </is>
      </c>
    </row>
    <row r="11" ht="29.85" customHeight="1" s="15">
      <c r="A11" s="17" t="n">
        <v>10</v>
      </c>
      <c r="B11" s="18" t="inlineStr">
        <is>
          <t>性能要件</t>
        </is>
      </c>
      <c r="C11" s="19" t="inlineStr">
        <is>
          <t>障害発生時は速やかに着手、最大限の努力で復旧</t>
        </is>
      </c>
      <c r="D11" s="20" t="inlineStr">
        <is>
          <t>△</t>
        </is>
      </c>
      <c r="E11" s="19" t="inlineStr">
        <is>
          <t>障害対応手順書を作成。Dataverseの自動バックアップからの復元操作を実演可能</t>
        </is>
      </c>
      <c r="F11" s="21" t="inlineStr">
        <is>
          <t>¥0</t>
        </is>
      </c>
      <c r="G11" s="14" t="inlineStr">
        <is>
          <t>✗</t>
        </is>
      </c>
      <c r="H11" s="14" t="inlineStr">
        <is>
          <t>障害対応手順書・バックアップ復元の実演は未実施</t>
        </is>
      </c>
    </row>
    <row r="12" ht="29.85" customHeight="1" s="15">
      <c r="A12" s="17" t="n">
        <v>11</v>
      </c>
      <c r="B12" s="18" t="inlineStr">
        <is>
          <t>性能要件</t>
        </is>
      </c>
      <c r="C12" s="19" t="inlineStr">
        <is>
          <t>バージョンアップがあった場合、随時、委託費範囲内で最新版提供</t>
        </is>
      </c>
      <c r="D12" s="22" t="inlineStr">
        <is>
          <t>○</t>
        </is>
      </c>
      <c r="E12" s="21" t="inlineStr">
        <is>
          <t>SaaSのため自動更新。追加費用なしで最新化される点を説明</t>
        </is>
      </c>
      <c r="F12" s="21" t="inlineStr">
        <is>
          <t>¥0</t>
        </is>
      </c>
      <c r="G12" s="14" t="inlineStr">
        <is>
          <t>○</t>
        </is>
      </c>
      <c r="H12" s="14" t="inlineStr">
        <is>
          <t>SaaSのため自動更新(追加作業不要)</t>
        </is>
      </c>
    </row>
    <row r="13" ht="29.85" customHeight="1" s="15">
      <c r="A13" s="17" t="n">
        <v>12</v>
      </c>
      <c r="B13" s="18" t="inlineStr">
        <is>
          <t>ソフトウェア要件</t>
        </is>
      </c>
      <c r="C13" s="19" t="inlineStr">
        <is>
          <t>システム形態はWeb型</t>
        </is>
      </c>
      <c r="D13" s="22" t="inlineStr">
        <is>
          <t>○</t>
        </is>
      </c>
      <c r="E13" s="21" t="inlineStr">
        <is>
          <t>Power Apps(モデル駆動/キャンバス)は標準でWebベース</t>
        </is>
      </c>
      <c r="F13" s="21" t="inlineStr">
        <is>
          <t>¥0</t>
        </is>
      </c>
      <c r="G13" s="14" t="inlineStr">
        <is>
          <t>○</t>
        </is>
      </c>
      <c r="H13" s="14" t="inlineStr">
        <is>
          <t>Power Apps自体がWeb型(追加作業不要)</t>
        </is>
      </c>
    </row>
    <row r="14" ht="29.85" customHeight="1" s="15">
      <c r="A14" s="17" t="n">
        <v>13</v>
      </c>
      <c r="B14" s="18" t="inlineStr">
        <is>
          <t>ソフトウェア要件</t>
        </is>
      </c>
      <c r="C14" s="19" t="inlineStr">
        <is>
          <t>環境変化に際してもバージョンアップ等で5年は最適な状態を維持</t>
        </is>
      </c>
      <c r="D14" s="22" t="inlineStr">
        <is>
          <t>○</t>
        </is>
      </c>
      <c r="E14" s="21" t="inlineStr">
        <is>
          <t>SaaSの自動更新特性で対応。運用計画書に明記</t>
        </is>
      </c>
      <c r="F14" s="21" t="inlineStr">
        <is>
          <t>¥0</t>
        </is>
      </c>
      <c r="G14" s="14" t="inlineStr">
        <is>
          <t>○</t>
        </is>
      </c>
      <c r="H14" s="14" t="inlineStr">
        <is>
          <t>SaaSの自動更新特性(追加作業不要)</t>
        </is>
      </c>
    </row>
    <row r="15" ht="15" customHeight="1" s="15">
      <c r="A15" s="17" t="n">
        <v>14</v>
      </c>
      <c r="B15" s="18" t="inlineStr">
        <is>
          <t>ソフトウェア要件</t>
        </is>
      </c>
      <c r="C15" s="19" t="inlineStr">
        <is>
          <t>汎用的なOS(Windows11以降)で利用・動作</t>
        </is>
      </c>
      <c r="D15" s="22" t="inlineStr">
        <is>
          <t>○</t>
        </is>
      </c>
      <c r="E15" s="19" t="inlineStr">
        <is>
          <t>ブラウザベースのためOS非依存。実機確認は容易</t>
        </is>
      </c>
      <c r="F15" s="21" t="inlineStr">
        <is>
          <t>¥0</t>
        </is>
      </c>
      <c r="G15" s="14" t="inlineStr">
        <is>
          <t>○</t>
        </is>
      </c>
      <c r="H15" s="14" t="inlineStr">
        <is>
          <t>ブラウザベースでOS非依存(追加作業不要)</t>
        </is>
      </c>
    </row>
    <row r="16" ht="15" customHeight="1" s="15">
      <c r="A16" s="17" t="n">
        <v>15</v>
      </c>
      <c r="B16" s="18" t="inlineStr">
        <is>
          <t>ソフトウェア要件</t>
        </is>
      </c>
      <c r="C16" s="19" t="inlineStr">
        <is>
          <t>システム全体の操作はシンプルでわかりやすい</t>
        </is>
      </c>
      <c r="D16" s="22" t="inlineStr">
        <is>
          <t>○</t>
        </is>
      </c>
      <c r="E16" s="21" t="inlineStr">
        <is>
          <t>UI/UXデザインの作り込みで対応可能(工数のみ)</t>
        </is>
      </c>
      <c r="F16" s="21" t="inlineStr">
        <is>
          <t>¥0</t>
        </is>
      </c>
      <c r="G16" s="14" t="inlineStr">
        <is>
          <t>？</t>
        </is>
      </c>
      <c r="H16" s="14" t="inlineStr">
        <is>
          <t>UI/UXの作り込み状況は未評価</t>
        </is>
      </c>
    </row>
    <row r="17" ht="29.85" customHeight="1" s="15">
      <c r="A17" s="17" t="n">
        <v>16</v>
      </c>
      <c r="B17" s="18" t="inlineStr">
        <is>
          <t>ソフトウェア要件</t>
        </is>
      </c>
      <c r="C17" s="19" t="inlineStr">
        <is>
          <t>導入するソフトウェアは調達段階での最新バージョン使用</t>
        </is>
      </c>
      <c r="D17" s="22" t="inlineStr">
        <is>
          <t>○</t>
        </is>
      </c>
      <c r="E17" s="21" t="inlineStr">
        <is>
          <t>Power Platformは常に最新版が自動適用される</t>
        </is>
      </c>
      <c r="F17" s="21" t="inlineStr">
        <is>
          <t>¥0</t>
        </is>
      </c>
      <c r="G17" s="14" t="inlineStr">
        <is>
          <t>○</t>
        </is>
      </c>
      <c r="H17" s="14" t="inlineStr">
        <is>
          <t>Power Platformは常に最新版が自動適用(追加作業不要)</t>
        </is>
      </c>
    </row>
    <row r="18" ht="29.85" customHeight="1" s="15">
      <c r="A18" s="17" t="n">
        <v>17</v>
      </c>
      <c r="B18" s="18" t="inlineStr">
        <is>
          <t>ソフトウェア要件</t>
        </is>
      </c>
      <c r="C18" s="19" t="inlineStr">
        <is>
          <t>障害対応は速やかに実施、以後同様障害が発生しないよう防止策</t>
        </is>
      </c>
      <c r="D18" s="20" t="inlineStr">
        <is>
          <t>△</t>
        </is>
      </c>
      <c r="E18" s="19" t="inlineStr">
        <is>
          <t>障害対応・再発防止のプロセスを文書化。実障害の再現は限定的</t>
        </is>
      </c>
      <c r="F18" s="21" t="inlineStr">
        <is>
          <t>¥0</t>
        </is>
      </c>
      <c r="G18" s="14" t="inlineStr">
        <is>
          <t>✗</t>
        </is>
      </c>
      <c r="H18" s="14" t="inlineStr">
        <is>
          <t>障害対応・再発防止プロセスの文書化は未実施</t>
        </is>
      </c>
    </row>
    <row r="19" ht="29.85" customHeight="1" s="15">
      <c r="A19" s="17" t="n">
        <v>18</v>
      </c>
      <c r="B19" s="18" t="inlineStr">
        <is>
          <t>ソフトウェア要件</t>
        </is>
      </c>
      <c r="C19" s="19" t="inlineStr">
        <is>
          <t>ユーザーが同一データを基に作業できる。ユーザー追加削除も可能</t>
        </is>
      </c>
      <c r="D19" s="22" t="inlineStr">
        <is>
          <t>○</t>
        </is>
      </c>
      <c r="E19" s="21" t="inlineStr">
        <is>
          <t>Dataverseの共有データモデルとユーザー管理機能で標準対応</t>
        </is>
      </c>
      <c r="F19" s="21" t="inlineStr">
        <is>
          <t>¥0</t>
        </is>
      </c>
      <c r="G19" s="14" t="inlineStr">
        <is>
          <t>○</t>
        </is>
      </c>
      <c r="H19" s="14" t="inlineStr">
        <is>
          <t>Dataverseの共有データモデル・ユーザー管理は標準機能</t>
        </is>
      </c>
    </row>
    <row r="20" ht="29.85" customHeight="1" s="15">
      <c r="A20" s="17" t="n">
        <v>19</v>
      </c>
      <c r="B20" s="18" t="inlineStr">
        <is>
          <t>ソフトウェア要件</t>
        </is>
      </c>
      <c r="C20" s="19" t="inlineStr">
        <is>
          <t>ライセンスを過不足なく用意、ライセンス料は見積金額に含む</t>
        </is>
      </c>
      <c r="D20" s="22" t="inlineStr">
        <is>
          <t>○</t>
        </is>
      </c>
      <c r="E20" s="19" t="inlineStr">
        <is>
          <t>前回試算した必要ライセンス数を明記して計上</t>
        </is>
      </c>
      <c r="F20" s="19" t="inlineStr">
        <is>
          <t>試算済(月額¥4,650〜9,300)</t>
        </is>
      </c>
      <c r="G20" s="14" t="inlineStr">
        <is>
          <t>○</t>
        </is>
      </c>
      <c r="H20" s="14" t="inlineStr">
        <is>
          <t>PowerPlatformライセンス費用試算.xlsxで試算済み</t>
        </is>
      </c>
    </row>
    <row r="21" ht="29.85" customHeight="1" s="15">
      <c r="A21" s="17" t="n">
        <v>20</v>
      </c>
      <c r="B21" s="18" t="inlineStr">
        <is>
          <t>ハードウェア要件</t>
        </is>
      </c>
      <c r="C21" s="21" t="inlineStr">
        <is>
          <t>ASP・SaaS方式、クライアントPCへのソフトインストール不要</t>
        </is>
      </c>
      <c r="D21" s="22" t="inlineStr">
        <is>
          <t>○</t>
        </is>
      </c>
      <c r="E21" s="21" t="inlineStr">
        <is>
          <t>Power Appsはブラウザ/モバイルアプリのみで完結。標準で満たす</t>
        </is>
      </c>
      <c r="F21" s="21" t="inlineStr">
        <is>
          <t>¥0</t>
        </is>
      </c>
      <c r="G21" s="14" t="inlineStr">
        <is>
          <t>○</t>
        </is>
      </c>
      <c r="H21" s="14" t="inlineStr">
        <is>
          <t>Power AppsはブラウザPWA/モバイルアプリのみで完結(追加作業不要)</t>
        </is>
      </c>
    </row>
    <row r="22" ht="29.85" customHeight="1" s="15">
      <c r="A22" s="17" t="n">
        <v>21</v>
      </c>
      <c r="B22" s="18" t="inlineStr">
        <is>
          <t>ハードウェア要件</t>
        </is>
      </c>
      <c r="C22" s="19" t="inlineStr">
        <is>
          <t>検索スピードや画面展開が遅延しない構成</t>
        </is>
      </c>
      <c r="D22" s="20" t="inlineStr">
        <is>
          <t>△</t>
        </is>
      </c>
      <c r="E22" s="19" t="inlineStr">
        <is>
          <t>サンプル規模では体感確認可能。5,200件相当の負荷は別途シミュレーションが必要</t>
        </is>
      </c>
      <c r="F22" s="21" t="inlineStr">
        <is>
          <t>¥0</t>
        </is>
      </c>
      <c r="G22" s="14" t="inlineStr">
        <is>
          <t>○</t>
        </is>
      </c>
      <c r="H22" s="14" t="inlineStr">
        <is>
          <t>同上の負荷テストで応答速度を実測(平均624ms)。ただし約300件規模でのテストであり、5,200件相当のデータ量での検証は別途必要</t>
        </is>
      </c>
    </row>
    <row r="23" ht="29.85" customHeight="1" s="15">
      <c r="A23" s="17" t="n">
        <v>22</v>
      </c>
      <c r="B23" s="18" t="inlineStr">
        <is>
          <t>ネットワーク要件</t>
        </is>
      </c>
      <c r="C23" s="19" t="inlineStr">
        <is>
          <t>区職員(庁舎内外出先機関)端末、現場スマホ・タブレット等からアクセスできること</t>
        </is>
      </c>
      <c r="D23" s="22" t="inlineStr">
        <is>
          <t>○</t>
        </is>
      </c>
      <c r="E23" s="21" t="inlineStr">
        <is>
          <t>Power Appsモバイルアプリで標準対応。自分のスマホで実機確認可能</t>
        </is>
      </c>
      <c r="F23" s="21" t="inlineStr">
        <is>
          <t>¥0</t>
        </is>
      </c>
      <c r="G23" s="14" t="inlineStr">
        <is>
          <t>？</t>
        </is>
      </c>
      <c r="H23" s="14" t="inlineStr">
        <is>
          <t>Power Appsモバイルアプリでの実機アクセス確認は未実施</t>
        </is>
      </c>
    </row>
    <row r="24" ht="29.85" customHeight="1" s="15">
      <c r="A24" s="17" t="n">
        <v>23</v>
      </c>
      <c r="B24" s="18" t="inlineStr">
        <is>
          <t>ネットワーク要件</t>
        </is>
      </c>
      <c r="C24" s="19" t="inlineStr">
        <is>
          <t>第三者からの不正アクセスを防ぐ仕組み</t>
        </is>
      </c>
      <c r="D24" s="22" t="inlineStr">
        <is>
          <t>○</t>
        </is>
      </c>
      <c r="E24" s="21" t="inlineStr">
        <is>
          <t>Entra IDの多要素認証(MFA)・条件付きアクセスで実装可能</t>
        </is>
      </c>
      <c r="F24" s="21" t="inlineStr">
        <is>
          <t>¥0(MFA無料)</t>
        </is>
      </c>
      <c r="G24" s="14" t="inlineStr">
        <is>
          <t>◎</t>
        </is>
      </c>
      <c r="H24" s="14" t="inlineStr">
        <is>
          <t>Microsoft Entra管理センターで確認: 「セキュリティの既定値群」が既に有効(組織全体でMFA強制済み)。テナントの既定設定として最初から満たされていた</t>
        </is>
      </c>
    </row>
    <row r="25" ht="44" customHeight="1" s="15">
      <c r="A25" s="17" t="n">
        <v>24</v>
      </c>
      <c r="B25" s="18" t="inlineStr">
        <is>
          <t>セキュリティ要件</t>
        </is>
      </c>
      <c r="C25" s="19" t="inlineStr">
        <is>
          <t>情報セキュリティ対策実施にあたり、本区の規定等に準拠</t>
        </is>
      </c>
      <c r="D25" s="20" t="inlineStr">
        <is>
          <t>△</t>
        </is>
      </c>
      <c r="E25" s="19" t="inlineStr">
        <is>
          <t>港区内部規定は入手不可のため、総務省『地方公共団体における情報セキュリティポリシーに関するガイドライン』等の公開基準を参考に設計方針として文書化</t>
        </is>
      </c>
      <c r="F25" s="21" t="inlineStr">
        <is>
          <t>¥0</t>
        </is>
      </c>
      <c r="G25" s="14" t="inlineStr">
        <is>
          <t>✗</t>
        </is>
      </c>
      <c r="H25" s="14" t="inlineStr">
        <is>
          <t>総務省ガイドライン等を参考にした設計方針文書は未作成</t>
        </is>
      </c>
    </row>
    <row r="26" ht="44" customHeight="1" s="15">
      <c r="A26" s="17" t="n">
        <v>25</v>
      </c>
      <c r="B26" s="18" t="inlineStr">
        <is>
          <t>セキュリティ要件</t>
        </is>
      </c>
      <c r="C26" s="19" t="inlineStr">
        <is>
          <t>不正接続・データ通信の検知、改ざん対策等による被害拡大防止</t>
        </is>
      </c>
      <c r="D26" s="20" t="inlineStr">
        <is>
          <t>△</t>
        </is>
      </c>
      <c r="E26" s="19" t="inlineStr">
        <is>
          <t>基本監視はEntra IDのサインインログで代替。本格的なIDS/IPS(例:Microsoft Defender for Cloud Apps)は追加コスト</t>
        </is>
      </c>
      <c r="F26" s="19" t="inlineStr">
        <is>
          <t>追加時:要見積(月数百〜数千円程度)</t>
        </is>
      </c>
      <c r="G26" s="14" t="inlineStr">
        <is>
          <t>？</t>
        </is>
      </c>
      <c r="H26" s="14" t="inlineStr">
        <is>
          <t>サインインログでの監視体制が実際に確認されているかは未確認</t>
        </is>
      </c>
    </row>
    <row r="27" ht="29.85" customHeight="1" s="15">
      <c r="A27" s="17" t="n">
        <v>26</v>
      </c>
      <c r="B27" s="18" t="inlineStr">
        <is>
          <t>セキュリティ要件</t>
        </is>
      </c>
      <c r="C27" s="19" t="inlineStr">
        <is>
          <t>稼働期間全体にわたる継続的な更新(最新ウイルス定義・パッチ等)の仕組み</t>
        </is>
      </c>
      <c r="D27" s="22" t="inlineStr">
        <is>
          <t>○</t>
        </is>
      </c>
      <c r="E27" s="21" t="inlineStr">
        <is>
          <t>SaaSとしてMicrosoft側が自動的に実施。運用ルールとして明文化</t>
        </is>
      </c>
      <c r="F27" s="21" t="inlineStr">
        <is>
          <t>¥0</t>
        </is>
      </c>
      <c r="G27" s="14" t="inlineStr">
        <is>
          <t>○</t>
        </is>
      </c>
      <c r="H27" s="14" t="inlineStr">
        <is>
          <t>SaaSとしてMicrosoft側が自動実施(追加作業不要)</t>
        </is>
      </c>
    </row>
    <row r="28" ht="29.85" customHeight="1" s="15">
      <c r="A28" s="17" t="n">
        <v>27</v>
      </c>
      <c r="B28" s="18" t="inlineStr">
        <is>
          <t>セキュリティ要件</t>
        </is>
      </c>
      <c r="C28" s="19" t="inlineStr">
        <is>
          <t>ウイルス感染しないための対策、感染時の速やかな駆除</t>
        </is>
      </c>
      <c r="D28" s="22" t="inlineStr">
        <is>
          <t>○</t>
        </is>
      </c>
      <c r="E28" s="19" t="inlineStr">
        <is>
          <t>クラウド側対策はMicrosoft側が担保。開発端末側のWindows Defender適用を明記</t>
        </is>
      </c>
      <c r="F28" s="21" t="inlineStr">
        <is>
          <t>¥0</t>
        </is>
      </c>
      <c r="G28" s="14" t="inlineStr">
        <is>
          <t>○</t>
        </is>
      </c>
      <c r="H28" s="14" t="inlineStr">
        <is>
          <t>クラウド側対策はMicrosoft側が担保(追加作業不要)</t>
        </is>
      </c>
    </row>
    <row r="29" ht="15" customHeight="1" s="15">
      <c r="A29" s="17" t="n">
        <v>28</v>
      </c>
      <c r="B29" s="18" t="inlineStr">
        <is>
          <t>セキュリティ要件</t>
        </is>
      </c>
      <c r="C29" s="19" t="inlineStr">
        <is>
          <t>セキュリティホール発見時はパッチ等の適用</t>
        </is>
      </c>
      <c r="D29" s="22" t="inlineStr">
        <is>
          <t>○</t>
        </is>
      </c>
      <c r="E29" s="21" t="inlineStr">
        <is>
          <t>SaaSとして自動パッチ。対応方針を運用手順書に明記</t>
        </is>
      </c>
      <c r="F29" s="21" t="inlineStr">
        <is>
          <t>¥0</t>
        </is>
      </c>
      <c r="G29" s="14" t="inlineStr">
        <is>
          <t>○</t>
        </is>
      </c>
      <c r="H29" s="14" t="inlineStr">
        <is>
          <t>SaaSとして自動パッチ適用(追加作業不要)</t>
        </is>
      </c>
    </row>
    <row r="30" ht="29.85" customHeight="1" s="15">
      <c r="A30" s="17" t="n">
        <v>29</v>
      </c>
      <c r="B30" s="18" t="inlineStr">
        <is>
          <t>セキュリティ要件</t>
        </is>
      </c>
      <c r="C30" s="19" t="inlineStr">
        <is>
          <t>セキュリティ事件・事故・違反の速やかな報告・対応</t>
        </is>
      </c>
      <c r="D30" s="22" t="inlineStr">
        <is>
          <t>○</t>
        </is>
      </c>
      <c r="E30" s="19" t="inlineStr">
        <is>
          <t>インシデント対応手順書の作成で対応(書類のみ)</t>
        </is>
      </c>
      <c r="F30" s="21" t="inlineStr">
        <is>
          <t>¥0</t>
        </is>
      </c>
      <c r="G30" s="14" t="inlineStr">
        <is>
          <t>✗</t>
        </is>
      </c>
      <c r="H30" s="14" t="inlineStr">
        <is>
          <t>インシデント対応手順書は未作成</t>
        </is>
      </c>
    </row>
    <row r="31" ht="29.85" customHeight="1" s="15">
      <c r="A31" s="17" t="n">
        <v>30</v>
      </c>
      <c r="B31" s="18" t="inlineStr">
        <is>
          <t>セキュリティ要件</t>
        </is>
      </c>
      <c r="C31" s="19" t="inlineStr">
        <is>
          <t>セキュリティパッチの定期適用、緊急時は随時対応</t>
        </is>
      </c>
      <c r="D31" s="22" t="inlineStr">
        <is>
          <t>○</t>
        </is>
      </c>
      <c r="E31" s="21" t="inlineStr">
        <is>
          <t>SaaS自動更新+運用ルールの文書化で対応</t>
        </is>
      </c>
      <c r="F31" s="21" t="inlineStr">
        <is>
          <t>¥0</t>
        </is>
      </c>
      <c r="G31" s="14" t="inlineStr">
        <is>
          <t>○</t>
        </is>
      </c>
      <c r="H31" s="14" t="inlineStr">
        <is>
          <t>SaaS自動更新(追加作業不要)</t>
        </is>
      </c>
    </row>
    <row r="32" ht="29.85" customHeight="1" s="15">
      <c r="A32" s="17" t="n">
        <v>31</v>
      </c>
      <c r="B32" s="18" t="inlineStr">
        <is>
          <t>セキュリティ要件(権限)</t>
        </is>
      </c>
      <c r="C32" s="19" t="inlineStr">
        <is>
          <t>利用者はID・パスワードで認証、登録者以外の不正アクセス防止</t>
        </is>
      </c>
      <c r="D32" s="22" t="inlineStr">
        <is>
          <t>○</t>
        </is>
      </c>
      <c r="E32" s="21" t="inlineStr">
        <is>
          <t>Entra IDの多要素認証(MFA)を実際に設定・実演可能</t>
        </is>
      </c>
      <c r="F32" s="21" t="inlineStr">
        <is>
          <t>¥0</t>
        </is>
      </c>
      <c r="G32" s="14" t="inlineStr">
        <is>
          <t>◎</t>
        </is>
      </c>
      <c r="H32" s="14" t="inlineStr">
        <is>
          <t>23と同様、セキュリティの既定値群により既にMFAが有効化・実演確認済み(2026-08-28)</t>
        </is>
      </c>
    </row>
    <row r="33" ht="29.85" customHeight="1" s="15">
      <c r="A33" s="17" t="n">
        <v>32</v>
      </c>
      <c r="B33" s="18" t="inlineStr">
        <is>
          <t>セキュリティ要件(権限)</t>
        </is>
      </c>
      <c r="C33" s="19" t="inlineStr">
        <is>
          <t>アクセスログを最低1か月保管、監視・記録。集計・レポート出力可能</t>
        </is>
      </c>
      <c r="D33" s="22" t="inlineStr">
        <is>
          <t>○</t>
        </is>
      </c>
      <c r="E33" s="21" t="inlineStr">
        <is>
          <t>Dataverse監査(Audit)ログ機能で標準対応</t>
        </is>
      </c>
      <c r="F33" s="21" t="inlineStr">
        <is>
          <t>¥0(Premium/PAYG環境で有効)</t>
        </is>
      </c>
      <c r="G33" s="14" t="inlineStr">
        <is>
          <t>◎</t>
        </is>
      </c>
      <c r="H33" s="14" t="inlineStr">
        <is>
          <t>組織全体の監査(Web API)+テーブル単位の監査(Power Apps管理画面)を実際に有効化・API確認済み(2026-08-28)。IsAuditEnabledのWeb API更新は"Operation not supported"で失敗したため、テーブル単位はUIから設定</t>
        </is>
      </c>
    </row>
    <row r="34" ht="29.85" customHeight="1" s="15">
      <c r="A34" s="17" t="n">
        <v>33</v>
      </c>
      <c r="B34" s="18" t="inlineStr">
        <is>
          <t>セキュリティ要件(権限)</t>
        </is>
      </c>
      <c r="C34" s="19" t="inlineStr">
        <is>
          <t>利用者に権限設定、処理・検索・閲覧メニューで利用可能範囲を限定。管理者が変更可能</t>
        </is>
      </c>
      <c r="D34" s="22" t="inlineStr">
        <is>
          <t>○</t>
        </is>
      </c>
      <c r="E34" s="21" t="inlineStr">
        <is>
          <t>Dataverseセキュリティロールで6区分をフル実装可能。本件の最重要ポイント</t>
        </is>
      </c>
      <c r="F34" s="21" t="inlineStr">
        <is>
          <t>¥0</t>
        </is>
      </c>
      <c r="G34" s="14" t="inlineStr">
        <is>
          <t>◎</t>
        </is>
      </c>
      <c r="H34" s="14" t="inlineStr">
        <is>
          <t>Dataverseセキュリティロールで6区分をフル実装・検証済み(本件の最重要ポイント)</t>
        </is>
      </c>
    </row>
    <row r="35" ht="29.85" customHeight="1" s="15">
      <c r="A35" s="17" t="n">
        <v>34</v>
      </c>
      <c r="B35" s="18" t="inlineStr">
        <is>
          <t>セキュリティ要件(権限)</t>
        </is>
      </c>
      <c r="C35" s="19" t="inlineStr">
        <is>
          <t>管理者が適宜アクセス遮断等の措置可能</t>
        </is>
      </c>
      <c r="D35" s="22" t="inlineStr">
        <is>
          <t>○</t>
        </is>
      </c>
      <c r="E35" s="21" t="inlineStr">
        <is>
          <t>Entra ID/Dataverseでのアカウント無効化機能で標準対応</t>
        </is>
      </c>
      <c r="F35" s="21" t="inlineStr">
        <is>
          <t>¥0</t>
        </is>
      </c>
      <c r="G35" s="14" t="inlineStr">
        <is>
          <t>○</t>
        </is>
      </c>
      <c r="H35" s="14" t="inlineStr">
        <is>
          <t>Entra ID/Dataverseのアカウント無効化機能は標準搭載(追加作業不要)</t>
        </is>
      </c>
    </row>
    <row r="36" ht="29.85" customHeight="1" s="15">
      <c r="A36" s="17" t="n">
        <v>35</v>
      </c>
      <c r="B36" s="18" t="inlineStr">
        <is>
          <t>システム要件(信頼性継続性)</t>
        </is>
      </c>
      <c r="C36" s="19" t="inlineStr">
        <is>
          <t>日本国の法律・条約が適用される国内データセンタ利用、裁判管轄権あり</t>
        </is>
      </c>
      <c r="D36" s="22" t="inlineStr">
        <is>
          <t>○</t>
        </is>
      </c>
      <c r="E36" s="21" t="inlineStr">
        <is>
          <t>Power Platform環境作成時に地域(リージョン)として「日本」を選択することで実現可能</t>
        </is>
      </c>
      <c r="F36" s="21" t="inlineStr">
        <is>
          <t>¥0</t>
        </is>
      </c>
      <c r="G36" s="14" t="inlineStr">
        <is>
          <t>？</t>
        </is>
      </c>
      <c r="H36" s="14" t="inlineStr">
        <is>
          <t>Power Platform環境のリージョン設定(日本)が実際に選択されているかは未確認</t>
        </is>
      </c>
    </row>
    <row r="37" ht="29.85" customHeight="1" s="15">
      <c r="A37" s="17" t="n">
        <v>36</v>
      </c>
      <c r="B37" s="18" t="inlineStr">
        <is>
          <t>システム要件(信頼性継続性)</t>
        </is>
      </c>
      <c r="C37" s="19" t="inlineStr">
        <is>
          <t>データセンターの敷地・建物・サーバー室・ラック内のIT危機へのアクセス管理</t>
        </is>
      </c>
      <c r="D37" s="20" t="inlineStr">
        <is>
          <t>△</t>
        </is>
      </c>
      <c r="E37" s="21" t="inlineStr">
        <is>
          <t>Microsoft側の物理管理に依存し個人での検証は不可。ISO27001等の第三者認証取得を根拠として説明</t>
        </is>
      </c>
      <c r="F37" s="21" t="inlineStr">
        <is>
          <t>¥0(説明ベース)</t>
        </is>
      </c>
      <c r="G37" s="14" t="inlineStr">
        <is>
          <t>○</t>
        </is>
      </c>
      <c r="H37" s="14" t="inlineStr">
        <is>
          <t>Microsoft側の物理管理に依存(第三者認証を根拠とする説明のみで完結)</t>
        </is>
      </c>
    </row>
    <row r="38" ht="29.85" customHeight="1" s="15">
      <c r="A38" s="17" t="n">
        <v>37</v>
      </c>
      <c r="B38" s="18" t="inlineStr">
        <is>
          <t>システム要件(信頼性継続性)</t>
        </is>
      </c>
      <c r="C38" s="19" t="inlineStr">
        <is>
          <t>データのバックアップ毎日実施、障害・災害時にバックアップから確実な復旧</t>
        </is>
      </c>
      <c r="D38" s="22" t="inlineStr">
        <is>
          <t>○</t>
        </is>
      </c>
      <c r="E38" s="21" t="inlineStr">
        <is>
          <t>Dataverseは自動バックアップを標準搭載。復元操作を実演可能</t>
        </is>
      </c>
      <c r="F38" s="21" t="inlineStr">
        <is>
          <t>¥0</t>
        </is>
      </c>
      <c r="G38" s="14" t="inlineStr">
        <is>
          <t>○</t>
        </is>
      </c>
      <c r="H38" s="14" t="inlineStr">
        <is>
          <t>pac admin backup/list-backupsで手動バックアップの作成・存在確認に成功。pac admin restoreも実行し正しいエラーハンドリング(処理待ち)まで確認したが、バックアップの復元可能化に時間を要するため完全な復元完了までは実施していない(2026-08-28)</t>
        </is>
      </c>
    </row>
    <row r="39" ht="29.85" customHeight="1" s="15">
      <c r="A39" s="17" t="n">
        <v>38</v>
      </c>
      <c r="B39" s="18" t="inlineStr">
        <is>
          <t>システム要件(信頼性継続性)</t>
        </is>
      </c>
      <c r="C39" s="19" t="inlineStr">
        <is>
          <t>災害等に対しデータ保全、機器故障時も冗長構成で継続提供</t>
        </is>
      </c>
      <c r="D39" s="20" t="inlineStr">
        <is>
          <t>△</t>
        </is>
      </c>
      <c r="E39" s="21" t="inlineStr">
        <is>
          <t>Microsoft既定のリージョン内冗長化に依存。個人設定での多重化は限定的だが既定機能を説明可能</t>
        </is>
      </c>
      <c r="F39" s="21" t="inlineStr">
        <is>
          <t>¥0(説明ベース)</t>
        </is>
      </c>
      <c r="G39" s="14" t="inlineStr">
        <is>
          <t>○</t>
        </is>
      </c>
      <c r="H39" s="14" t="inlineStr">
        <is>
          <t>Microsoft既定のリージョン内冗長化(追加作業不要、説明ベース)</t>
        </is>
      </c>
    </row>
    <row r="40" ht="29.85" customHeight="1" s="15">
      <c r="A40" s="17" t="n">
        <v>39</v>
      </c>
      <c r="B40" s="18" t="inlineStr">
        <is>
          <t>システム要件(信頼性継続性)</t>
        </is>
      </c>
      <c r="C40" s="19" t="inlineStr">
        <is>
          <t>ソフトウェア障害によるシステムダウンに対し障害発生前の環境へ修復</t>
        </is>
      </c>
      <c r="D40" s="22" t="inlineStr">
        <is>
          <t>○</t>
        </is>
      </c>
      <c r="E40" s="21" t="inlineStr">
        <is>
          <t>Dataverseのポイントインタイム復元機能を利用(要:本番相当の環境、Developer Planでは不可)</t>
        </is>
      </c>
      <c r="F40" s="19" t="inlineStr">
        <is>
          <t>環境をProduction化する際に発生</t>
        </is>
      </c>
      <c r="G40" s="14" t="inlineStr">
        <is>
          <t>✗</t>
        </is>
      </c>
      <c r="H40" s="14" t="inlineStr">
        <is>
          <t>pac admin listで環境Typeが"Developer"であることを確認。ポイントインタイム復元(継続的バックアップ)は本番相当(Production/Sandboxで容量割当てが必要)環境限定の機能のため、このDeveloper環境では利用不可であることを確認した(2026-08-28)</t>
        </is>
      </c>
    </row>
    <row r="41" ht="29.85" customHeight="1" s="15">
      <c r="A41" s="17" t="n">
        <v>40</v>
      </c>
      <c r="B41" s="18" t="inlineStr">
        <is>
          <t>システム要件(信頼性継続性)</t>
        </is>
      </c>
      <c r="C41" s="19" t="inlineStr">
        <is>
          <t>アプリケーションの改修・追加が容易な構成</t>
        </is>
      </c>
      <c r="D41" s="22" t="inlineStr">
        <is>
          <t>○</t>
        </is>
      </c>
      <c r="E41" s="21" t="inlineStr">
        <is>
          <t>Power Platformのローコード特性そのもので標準的に満たす</t>
        </is>
      </c>
      <c r="F41" s="21" t="inlineStr">
        <is>
          <t>¥0</t>
        </is>
      </c>
      <c r="G41" s="14" t="inlineStr">
        <is>
          <t>○</t>
        </is>
      </c>
      <c r="H41" s="14" t="inlineStr">
        <is>
          <t>Power Platformのローコード特性そのもの(追加作業不要)</t>
        </is>
      </c>
    </row>
    <row r="42" ht="15" customHeight="1" s="15">
      <c r="A42" s="17" t="n">
        <v>41</v>
      </c>
      <c r="B42" s="18" t="inlineStr">
        <is>
          <t>テスト</t>
        </is>
      </c>
      <c r="C42" s="19" t="inlineStr">
        <is>
          <t>本番稼働前に機能テスト及び運用テストを実施</t>
        </is>
      </c>
      <c r="D42" s="22" t="inlineStr">
        <is>
          <t>○</t>
        </is>
      </c>
      <c r="E42" s="19" t="inlineStr">
        <is>
          <t>テスト計画書・テストケースを自作し実施(工数のみ)</t>
        </is>
      </c>
      <c r="F42" s="21" t="inlineStr">
        <is>
          <t>¥0</t>
        </is>
      </c>
      <c r="G42" s="14" t="inlineStr">
        <is>
          <t>✗</t>
        </is>
      </c>
      <c r="H42" s="14" t="inlineStr">
        <is>
          <t>テスト計画書・テストケースは未作成(該当ファイルなし)</t>
        </is>
      </c>
    </row>
    <row r="43" ht="29.85" customHeight="1" s="15">
      <c r="A43" s="17" t="n">
        <v>42</v>
      </c>
      <c r="B43" s="18" t="inlineStr">
        <is>
          <t>テスト</t>
        </is>
      </c>
      <c r="C43" s="19" t="inlineStr">
        <is>
          <t>区職員立会いのテストを実施</t>
        </is>
      </c>
      <c r="D43" s="20" t="inlineStr">
        <is>
          <t>△</t>
        </is>
      </c>
      <c r="E43" s="19" t="inlineStr">
        <is>
          <t>実際の職員はいないため、デモ協力者(友人等)に立会ってもらう形で代替</t>
        </is>
      </c>
      <c r="F43" s="21" t="inlineStr">
        <is>
          <t>¥0</t>
        </is>
      </c>
      <c r="G43" s="14" t="inlineStr">
        <is>
          <t>✗</t>
        </is>
      </c>
      <c r="H43" s="14" t="inlineStr">
        <is>
          <t>デモ協力者立会いのテストは未実施</t>
        </is>
      </c>
    </row>
    <row r="44" ht="29.85" customHeight="1" s="15">
      <c r="A44" s="17" t="n">
        <v>43</v>
      </c>
      <c r="B44" s="18" t="inlineStr">
        <is>
          <t>テスト</t>
        </is>
      </c>
      <c r="C44" s="19" t="inlineStr">
        <is>
          <t>実施計画を提出・承認を得て実施。合格時は実施結果報告書を提出</t>
        </is>
      </c>
      <c r="D44" s="22" t="inlineStr">
        <is>
          <t>○</t>
        </is>
      </c>
      <c r="E44" s="19" t="inlineStr">
        <is>
          <t>書類作成自体は工数のみ、体裁を整えて成果物化</t>
        </is>
      </c>
      <c r="F44" s="21" t="inlineStr">
        <is>
          <t>¥0</t>
        </is>
      </c>
      <c r="G44" s="14" t="inlineStr">
        <is>
          <t>✗</t>
        </is>
      </c>
      <c r="H44" s="14" t="inlineStr">
        <is>
          <t>実施計画書・結果報告書は未作成</t>
        </is>
      </c>
    </row>
    <row r="45" ht="29.85" customHeight="1" s="15">
      <c r="A45" s="17" t="n">
        <v>44</v>
      </c>
      <c r="B45" s="18" t="inlineStr">
        <is>
          <t>運用保守要件</t>
        </is>
      </c>
      <c r="C45" s="19" t="inlineStr">
        <is>
          <t>本稼働前に操作研修会(管理者2回、委託業者2回程度)を実施</t>
        </is>
      </c>
      <c r="D45" s="20" t="inlineStr">
        <is>
          <t>△</t>
        </is>
      </c>
      <c r="E45" s="19" t="inlineStr">
        <is>
          <t>対象者はいないため簡易マニュアル作成＋デモ協力者への説明会で代替</t>
        </is>
      </c>
      <c r="F45" s="21" t="inlineStr">
        <is>
          <t>¥0</t>
        </is>
      </c>
      <c r="G45" s="14" t="inlineStr">
        <is>
          <t>✗</t>
        </is>
      </c>
      <c r="H45" s="14" t="inlineStr">
        <is>
          <t>簡易マニュアル・説明会資料は未作成</t>
        </is>
      </c>
    </row>
    <row r="46"/>
    <row r="47"/>
    <row r="48" ht="17.15" customHeight="1" s="15">
      <c r="A48" s="23" t="inlineStr">
        <is>
          <t>【集計】全44項目</t>
        </is>
      </c>
    </row>
    <row r="49" ht="15" customHeight="1" s="15">
      <c r="A49" s="24" t="inlineStr">
        <is>
          <t>評価記号</t>
        </is>
      </c>
      <c r="B49" s="24" t="inlineStr">
        <is>
          <t>意味</t>
        </is>
      </c>
      <c r="C49" s="24" t="inlineStr">
        <is>
          <t>件数</t>
        </is>
      </c>
    </row>
    <row r="50" ht="15" customHeight="1" s="15">
      <c r="A50" s="25" t="inlineStr">
        <is>
          <t>○</t>
        </is>
      </c>
      <c r="B50" s="26" t="inlineStr">
        <is>
          <t>実質フル実装可能($0中心)</t>
        </is>
      </c>
      <c r="C50" s="27">
        <f>COUNTIF(D2:D45,"○")</f>
        <v/>
      </c>
    </row>
    <row r="51" ht="15" customHeight="1" s="15">
      <c r="A51" s="25" t="inlineStr">
        <is>
          <t>△</t>
        </is>
      </c>
      <c r="B51" s="26" t="inlineStr">
        <is>
          <t>部分実装/設計説明で補完</t>
        </is>
      </c>
      <c r="C51" s="27">
        <f>COUNTIF(D2:D45,"△")</f>
        <v/>
      </c>
    </row>
    <row r="52" ht="15" customHeight="1" s="15">
      <c r="A52" s="25" t="inlineStr">
        <is>
          <t>×</t>
        </is>
      </c>
      <c r="B52" s="26" t="inlineStr">
        <is>
          <t>個人では実現不可</t>
        </is>
      </c>
      <c r="C52" s="27">
        <f>COUNTIF(D2:D45,"×")</f>
        <v/>
      </c>
    </row>
    <row r="53"/>
    <row r="54" ht="45" customHeight="1" s="15">
      <c r="A54" s="28" t="inlineStr">
        <is>
          <t>総括：44項目中、多くが Power Platform(Dataverse)の標準機能・SaaS特性・無償のEntra ID機能だけで実質的に満たせる(○)。△の項目の多くは「実データ・実組織が存在しないこと」に起因するもので、設計文書・運用手順書の作成やデモ協力者での代替により説明力を補強できる。個人ポートフォリオとして『実現不可(×)』に分類される項目は事実上ゼロ。</t>
        </is>
      </c>
    </row>
  </sheetData>
  <mergeCells count="1">
    <mergeCell ref="A54:F5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2026-08-27T05:10:46Z</dcterms:created>
  <dcterms:modified xmlns:dcterms="http://purl.org/dc/terms/" xmlns:xsi="http://www.w3.org/2001/XMLSchema-instance" xsi:type="dcterms:W3CDTF">2026-08-28T12:49:23Z</dcterms:modified>
  <cp:revision>0</cp:revision>
</cp:coreProperties>
</file>