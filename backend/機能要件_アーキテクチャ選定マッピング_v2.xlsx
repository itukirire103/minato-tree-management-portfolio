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機能要件マッピング(v2)"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0"/>
    </font>
    <font>
      <name val="Arial"/>
      <charset val="1"/>
      <family val="0"/>
      <b val="1"/>
      <color rgb="FFFFFFFF"/>
      <sz val="10"/>
    </font>
    <font>
      <name val="Arial"/>
      <charset val="1"/>
      <family val="0"/>
      <sz val="10"/>
    </font>
    <font>
      <name val="Noto Sans CJK SC"/>
      <family val="2"/>
      <b val="1"/>
      <sz val="10"/>
    </font>
    <font>
      <name val="Noto Sans CJK SC"/>
      <family val="2"/>
      <sz val="10"/>
    </font>
    <font>
      <name val="Arial"/>
      <charset val="1"/>
      <family val="0"/>
      <b val="1"/>
      <sz val="11"/>
    </font>
    <font>
      <name val="Noto Sans CJK SC"/>
      <family val="2"/>
      <b val="1"/>
      <sz val="11"/>
    </font>
    <font>
      <name val="Arial"/>
      <charset val="1"/>
      <family val="0"/>
      <b val="1"/>
      <sz val="10"/>
    </font>
    <font>
      <name val="Noto Sans CJK SC"/>
      <family val="2"/>
      <i val="1"/>
      <color rgb="FF7F7F7F"/>
      <sz val="9"/>
    </font>
    <font>
      <name val="Arial"/>
      <charset val="1"/>
      <family val="0"/>
      <i val="1"/>
      <color rgb="FF7F7F7F"/>
      <sz val="9"/>
    </font>
  </fonts>
  <fills count="7">
    <fill>
      <patternFill/>
    </fill>
    <fill>
      <patternFill patternType="gray125"/>
    </fill>
    <fill>
      <patternFill patternType="solid">
        <fgColor rgb="FF1F4E78"/>
        <bgColor rgb="FF003366"/>
      </patternFill>
    </fill>
    <fill>
      <patternFill patternType="solid">
        <fgColor rgb="FFD9E1F2"/>
        <bgColor rgb="FFC6EFCE"/>
      </patternFill>
    </fill>
    <fill>
      <patternFill patternType="solid">
        <fgColor rgb="FFFFEB9C"/>
        <bgColor rgb="FFFFFFCC"/>
      </patternFill>
    </fill>
    <fill>
      <patternFill patternType="solid">
        <fgColor rgb="FFC6EFCE"/>
        <bgColor rgb="FFD9E1F2"/>
      </patternFill>
    </fill>
    <fill>
      <patternFill patternType="solid">
        <fgColor rgb="FFFFC7CE"/>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7" fillId="3" borderId="1" applyAlignment="1" pivotButton="0" quotePrefix="0" xfId="0">
      <alignment horizontal="center" vertical="center"/>
    </xf>
    <xf numFmtId="0" fontId="8" fillId="0" borderId="1" applyAlignment="1" pivotButton="0" quotePrefix="0" xfId="0">
      <alignment horizontal="general" vertical="top" wrapText="1"/>
    </xf>
    <xf numFmtId="0" fontId="9" fillId="4" borderId="1" applyAlignment="1" pivotButton="0" quotePrefix="0" xfId="0">
      <alignment horizontal="center" vertical="center"/>
    </xf>
    <xf numFmtId="0" fontId="6" fillId="0" borderId="1" applyAlignment="1" pivotButton="0" quotePrefix="0" xfId="0">
      <alignment horizontal="general"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10" fillId="0" borderId="0" applyAlignment="1" pivotButton="0" quotePrefix="0" xfId="0">
      <alignment horizontal="general" vertical="bottom"/>
    </xf>
    <xf numFmtId="0" fontId="11" fillId="0" borderId="1" applyAlignment="1" pivotButton="0" quotePrefix="0" xfId="0">
      <alignment horizontal="center" vertical="bottom"/>
    </xf>
    <xf numFmtId="0" fontId="8" fillId="0" borderId="1" applyAlignment="1" pivotButton="0" quotePrefix="0" xfId="0">
      <alignment horizontal="general" vertical="bottom"/>
    </xf>
    <xf numFmtId="0" fontId="6" fillId="0" borderId="1" applyAlignment="1" pivotButton="0" quotePrefix="0" xfId="0">
      <alignment horizontal="center" vertical="bottom"/>
    </xf>
    <xf numFmtId="0" fontId="0" fillId="0" borderId="1" applyAlignment="1" pivotButton="0" quotePrefix="0" xfId="0">
      <alignment horizontal="general" vertical="bottom"/>
    </xf>
    <xf numFmtId="0" fontId="7" fillId="0" borderId="1" applyAlignment="1" pivotButton="0" quotePrefix="0" xfId="0">
      <alignment horizontal="general" vertical="bottom"/>
    </xf>
    <xf numFmtId="164" fontId="9" fillId="0" borderId="1" applyAlignment="1" pivotButton="0" quotePrefix="0" xfId="0">
      <alignment horizontal="center"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7" fillId="3" borderId="1" applyAlignment="1" pivotButton="0" quotePrefix="0" xfId="0">
      <alignment horizontal="center" vertical="center"/>
    </xf>
    <xf numFmtId="0" fontId="8" fillId="0" borderId="1" applyAlignment="1" pivotButton="0" quotePrefix="0" xfId="0">
      <alignment horizontal="general" vertical="top" wrapText="1"/>
    </xf>
    <xf numFmtId="0" fontId="9" fillId="4" borderId="1" applyAlignment="1" pivotButton="0" quotePrefix="0" xfId="0">
      <alignment horizontal="center" vertical="center"/>
    </xf>
    <xf numFmtId="0" fontId="6" fillId="0" borderId="1" applyAlignment="1" pivotButton="0" quotePrefix="0" xfId="0">
      <alignment horizontal="general"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10" fillId="0" borderId="0" applyAlignment="1" pivotButton="0" quotePrefix="0" xfId="0">
      <alignment horizontal="general" vertical="bottom"/>
    </xf>
    <xf numFmtId="0" fontId="11" fillId="0" borderId="1" applyAlignment="1" pivotButton="0" quotePrefix="0" xfId="0">
      <alignment horizontal="center" vertical="bottom"/>
    </xf>
    <xf numFmtId="0" fontId="8" fillId="0" borderId="1" applyAlignment="1" pivotButton="0" quotePrefix="0" xfId="0">
      <alignment horizontal="general" vertical="bottom"/>
    </xf>
    <xf numFmtId="0" fontId="6" fillId="0" borderId="1" applyAlignment="1" pivotButton="0" quotePrefix="0" xfId="0">
      <alignment horizontal="center" vertical="bottom"/>
    </xf>
    <xf numFmtId="0" fontId="0" fillId="0" borderId="1" applyAlignment="1" pivotButton="0" quotePrefix="0" xfId="0">
      <alignment horizontal="general" vertical="bottom"/>
    </xf>
    <xf numFmtId="0" fontId="7" fillId="0" borderId="1" applyAlignment="1" pivotButton="0" quotePrefix="0" xfId="0">
      <alignment horizontal="general" vertical="bottom"/>
    </xf>
    <xf numFmtId="164" fontId="9" fillId="0" borderId="1" applyAlignment="1" pivotButton="0" quotePrefix="0" xfId="0">
      <alignment horizontal="center" vertical="bottom"/>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50"/>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6" customWidth="1" style="18" min="1" max="1"/>
    <col width="8" customWidth="1" style="18" min="2" max="2"/>
    <col width="40" customWidth="1" style="18" min="3" max="3"/>
    <col width="9" customWidth="1" style="18" min="4" max="4"/>
    <col width="30" customWidth="1" style="18" min="5" max="5"/>
    <col width="9" customWidth="1" style="18" min="6" max="6"/>
    <col width="28" customWidth="1" style="18" min="7" max="7"/>
    <col width="11" customWidth="1" style="18" min="8" max="8"/>
    <col width="30" customWidth="1" style="18" min="9" max="9"/>
    <col width="11" customWidth="1" style="18" min="10" max="10"/>
    <col width="30" customWidth="1" style="18" min="11" max="11"/>
  </cols>
  <sheetData>
    <row r="1" ht="33.75" customHeight="1" s="19">
      <c r="A1" s="20" t="inlineStr">
        <is>
          <t>項番</t>
        </is>
      </c>
      <c r="B1" s="20" t="inlineStr">
        <is>
          <t>分類</t>
        </is>
      </c>
      <c r="C1" s="20" t="inlineStr">
        <is>
          <t>要求内容</t>
        </is>
      </c>
      <c r="D1" s="21" t="inlineStr">
        <is>
          <t>A:専用SaaS_評価</t>
        </is>
      </c>
      <c r="E1" s="21" t="inlineStr">
        <is>
          <t>A:専用SaaS_備考</t>
        </is>
      </c>
      <c r="F1" s="21" t="inlineStr">
        <is>
          <t>B:汎用GIS+ローコード_評価</t>
        </is>
      </c>
      <c r="G1" s="21" t="inlineStr">
        <is>
          <t>B:汎用GIS+ローコード_備考</t>
        </is>
      </c>
      <c r="H1" s="21" t="inlineStr">
        <is>
          <t>C-Azure:PowerPlatform+Dataverse_評価</t>
        </is>
      </c>
      <c r="I1" s="21" t="inlineStr">
        <is>
          <t>C-Azure_備考</t>
        </is>
      </c>
      <c r="J1" s="21" t="inlineStr">
        <is>
          <t>C-AWS:Amplify+AppSync_評価</t>
        </is>
      </c>
      <c r="K1" s="21" t="inlineStr">
        <is>
          <t>C-AWS_備考</t>
        </is>
      </c>
      <c r="L1" s="18" t="inlineStr">
        <is>
          <t>実装状況(2026-08-28時点)</t>
        </is>
      </c>
      <c r="M1" s="18" t="inlineStr">
        <is>
          <t>判定根拠</t>
        </is>
      </c>
    </row>
    <row r="2" ht="44" customHeight="1" s="19">
      <c r="A2" s="22" t="n">
        <v>1</v>
      </c>
      <c r="B2" s="23" t="inlineStr">
        <is>
          <t>基本</t>
        </is>
      </c>
      <c r="C2" s="24" t="inlineStr">
        <is>
          <t>アカウント種類毎(管理者/各所管理者/一般職員/委託業者/協定管理者/その他)に利用権限を設定できること</t>
        </is>
      </c>
      <c r="D2" s="25" t="inlineStr">
        <is>
          <t>○</t>
        </is>
      </c>
      <c r="E2" s="26" t="inlineStr">
        <is>
          <t>6区分の細かい権限粒度は製品仕様に依存、要確認</t>
        </is>
      </c>
      <c r="F2" s="27" t="inlineStr">
        <is>
          <t>◎</t>
        </is>
      </c>
      <c r="G2" s="26" t="inlineStr">
        <is>
          <t>kintoneのアプリ単位アクセス権で柔軟に設定可能</t>
        </is>
      </c>
      <c r="H2" s="27" t="inlineStr">
        <is>
          <t>◎</t>
        </is>
      </c>
      <c r="I2" s="26" t="inlineStr">
        <is>
          <t>Dataverseのセキュリティロールで6区分をノーコード設定可能</t>
        </is>
      </c>
      <c r="J2" s="27" t="inlineStr">
        <is>
          <t>◎</t>
        </is>
      </c>
      <c r="K2" s="26" t="inlineStr">
        <is>
          <t>Cognitoユーザープール+グループで6区分に対応可能(設計・実装は必要)</t>
        </is>
      </c>
      <c r="L2" s="18" t="inlineStr">
        <is>
          <t>◎</t>
        </is>
      </c>
      <c r="M2" s="18" t="inlineStr">
        <is>
          <t>create_security_roles.py + verify_security_roles.pyで6区分ロール・95権限を構築・検証済み</t>
        </is>
      </c>
    </row>
    <row r="3" ht="29.85" customHeight="1" s="19">
      <c r="A3" s="22" t="n">
        <v>2</v>
      </c>
      <c r="B3" s="23" t="inlineStr">
        <is>
          <t>基本</t>
        </is>
      </c>
      <c r="C3" s="24" t="inlineStr">
        <is>
          <t>アカウントの登録、変更、停止ができること</t>
        </is>
      </c>
      <c r="D3" s="27" t="inlineStr">
        <is>
          <t>◎</t>
        </is>
      </c>
      <c r="E3" s="24" t="inlineStr">
        <is>
          <t>標準機能</t>
        </is>
      </c>
      <c r="F3" s="27" t="inlineStr">
        <is>
          <t>◎</t>
        </is>
      </c>
      <c r="G3" s="24" t="inlineStr">
        <is>
          <t>標準機能</t>
        </is>
      </c>
      <c r="H3" s="27" t="inlineStr">
        <is>
          <t>◎</t>
        </is>
      </c>
      <c r="I3" s="26" t="inlineStr">
        <is>
          <t>Entra ID/Dataverseユーザー管理で標準対応</t>
        </is>
      </c>
      <c r="J3" s="27" t="inlineStr">
        <is>
          <t>◎</t>
        </is>
      </c>
      <c r="K3" s="26" t="inlineStr">
        <is>
          <t>Cognito標準管理機能で対応</t>
        </is>
      </c>
      <c r="L3" s="18" t="inlineStr">
        <is>
          <t>◎</t>
        </is>
      </c>
      <c r="M3" s="18" t="inlineStr">
        <is>
          <t>Dataverse/Entra ID標準機能(追加実装不要)</t>
        </is>
      </c>
    </row>
    <row r="4" ht="29.85" customHeight="1" s="19">
      <c r="A4" s="22" t="n">
        <v>3</v>
      </c>
      <c r="B4" s="23" t="inlineStr">
        <is>
          <t>基本</t>
        </is>
      </c>
      <c r="C4" s="24" t="inlineStr">
        <is>
          <t>システム管理者アカウントは、アカウント種類毎に利用権限を追加、変更できること</t>
        </is>
      </c>
      <c r="D4" s="28" t="inlineStr">
        <is>
          <t>△</t>
        </is>
      </c>
      <c r="E4" s="24" t="inlineStr">
        <is>
          <t>製品仕様に依存、要ベンダー確認</t>
        </is>
      </c>
      <c r="F4" s="27" t="inlineStr">
        <is>
          <t>◎</t>
        </is>
      </c>
      <c r="G4" s="26" t="inlineStr">
        <is>
          <t>kintone管理者権限で柔軟に変更可能</t>
        </is>
      </c>
      <c r="H4" s="27" t="inlineStr">
        <is>
          <t>◎</t>
        </is>
      </c>
      <c r="I4" s="24" t="inlineStr">
        <is>
          <t>セキュリティロールを管理者がノーコードで編集可能</t>
        </is>
      </c>
      <c r="J4" s="25" t="inlineStr">
        <is>
          <t>○</t>
        </is>
      </c>
      <c r="K4" s="26" t="inlineStr">
        <is>
          <t>Cognitoグループ管理用の管理画面を別途実装する必要あり</t>
        </is>
      </c>
      <c r="L4" s="18" t="inlineStr">
        <is>
          <t>◎</t>
        </is>
      </c>
      <c r="M4" s="18" t="inlineStr">
        <is>
          <t>セキュリティロールはノーコードで編集可能(標準機能)</t>
        </is>
      </c>
    </row>
    <row r="5" ht="29.85" customHeight="1" s="19">
      <c r="A5" s="22" t="n">
        <v>4</v>
      </c>
      <c r="B5" s="23" t="inlineStr">
        <is>
          <t>基本</t>
        </is>
      </c>
      <c r="C5" s="24" t="inlineStr">
        <is>
          <t>メニュー画面はアカウント種類毎に表示を変えること</t>
        </is>
      </c>
      <c r="D5" s="25" t="inlineStr">
        <is>
          <t>○</t>
        </is>
      </c>
      <c r="E5" s="24" t="inlineStr">
        <is>
          <t>製品仕様次第</t>
        </is>
      </c>
      <c r="F5" s="25" t="inlineStr">
        <is>
          <t>○</t>
        </is>
      </c>
      <c r="G5" s="24" t="inlineStr">
        <is>
          <t>アプリ・ポータル単位のビュー切替設計が必要</t>
        </is>
      </c>
      <c r="H5" s="25" t="inlineStr">
        <is>
          <t>○</t>
        </is>
      </c>
      <c r="I5" s="24" t="inlineStr">
        <is>
          <t>モデル駆動アプリのサイトマップをロール別に出し分け設計</t>
        </is>
      </c>
      <c r="J5" s="25" t="inlineStr">
        <is>
          <t>○</t>
        </is>
      </c>
      <c r="K5" s="24" t="inlineStr">
        <is>
          <t>フロントエンド(React等)でロール別表示制御を実装</t>
        </is>
      </c>
      <c r="L5" s="18" t="inlineStr">
        <is>
          <t>✗</t>
        </is>
      </c>
      <c r="M5" s="18" t="inlineStr">
        <is>
          <t>ロール別サイトマップ/メニュー出し分けの設計・実装は未着手</t>
        </is>
      </c>
    </row>
    <row r="6" ht="29.85" customHeight="1" s="19">
      <c r="A6" s="22" t="n">
        <v>5</v>
      </c>
      <c r="B6" s="23" t="inlineStr">
        <is>
          <t>基本</t>
        </is>
      </c>
      <c r="C6" s="24" t="inlineStr">
        <is>
          <t>メニュー画面はシステムで利用可能な内容を網羅すること</t>
        </is>
      </c>
      <c r="D6" s="25" t="inlineStr">
        <is>
          <t>○</t>
        </is>
      </c>
      <c r="E6" s="24" t="inlineStr">
        <is>
          <t>標準UI準拠</t>
        </is>
      </c>
      <c r="F6" s="25" t="inlineStr">
        <is>
          <t>○</t>
        </is>
      </c>
      <c r="G6" s="24" t="inlineStr">
        <is>
          <t>ポータル設計で対応</t>
        </is>
      </c>
      <c r="H6" s="25" t="inlineStr">
        <is>
          <t>○</t>
        </is>
      </c>
      <c r="I6" s="24" t="inlineStr">
        <is>
          <t>アプリデザイナーで設計</t>
        </is>
      </c>
      <c r="J6" s="25" t="inlineStr">
        <is>
          <t>○</t>
        </is>
      </c>
      <c r="K6" s="24" t="inlineStr">
        <is>
          <t>フロントエンド設計で対応</t>
        </is>
      </c>
      <c r="L6" s="18" t="inlineStr">
        <is>
          <t>△</t>
        </is>
      </c>
      <c r="M6" s="18" t="inlineStr">
        <is>
          <t>モデル駆動アプリ自体は稼働中だが、全機能を網羅したメニュー構成は未検証</t>
        </is>
      </c>
    </row>
    <row r="7" ht="29.85" customHeight="1" s="19">
      <c r="A7" s="22" t="n">
        <v>6</v>
      </c>
      <c r="B7" s="23" t="inlineStr">
        <is>
          <t>台帳</t>
        </is>
      </c>
      <c r="C7" s="24" t="inlineStr">
        <is>
          <t>樹木に関する情報(個体情報、樹木診断結果、作業履歴、その他)が登録できること</t>
        </is>
      </c>
      <c r="D7" s="27" t="inlineStr">
        <is>
          <t>◎</t>
        </is>
      </c>
      <c r="E7" s="24" t="inlineStr">
        <is>
          <t>東京都診断カルテ様式に標準対応</t>
        </is>
      </c>
      <c r="F7" s="27" t="inlineStr">
        <is>
          <t>◎</t>
        </is>
      </c>
      <c r="G7" s="26" t="inlineStr">
        <is>
          <t>kintoneフォームで柔軟に項目定義可能</t>
        </is>
      </c>
      <c r="H7" s="27" t="inlineStr">
        <is>
          <t>◎</t>
        </is>
      </c>
      <c r="I7" s="26" t="inlineStr">
        <is>
          <t>Dataverseのテーブル設計で柔軟に定義可能</t>
        </is>
      </c>
      <c r="J7" s="25" t="inlineStr">
        <is>
          <t>○</t>
        </is>
      </c>
      <c r="K7" s="26" t="inlineStr">
        <is>
          <t>AppSync/GraphQLスキーマ定義とDB設計が必要(要実装)</t>
        </is>
      </c>
      <c r="L7" s="18" t="inlineStr">
        <is>
          <t>◎</t>
        </is>
      </c>
      <c r="M7" s="18" t="inlineStr">
        <is>
          <t>tree/diagnosis/inspection/workhistoryテーブルで実装済み</t>
        </is>
      </c>
    </row>
    <row r="8" ht="29.85" customHeight="1" s="19">
      <c r="A8" s="22" t="n">
        <v>7</v>
      </c>
      <c r="B8" s="23" t="inlineStr">
        <is>
          <t>台帳</t>
        </is>
      </c>
      <c r="C8" s="24" t="inlineStr">
        <is>
          <t>作業履歴は蓄積、閲覧ができること</t>
        </is>
      </c>
      <c r="D8" s="27" t="inlineStr">
        <is>
          <t>◎</t>
        </is>
      </c>
      <c r="E8" s="24" t="inlineStr">
        <is>
          <t>標準機能</t>
        </is>
      </c>
      <c r="F8" s="27" t="inlineStr">
        <is>
          <t>◎</t>
        </is>
      </c>
      <c r="G8" s="24" t="inlineStr">
        <is>
          <t>レコード履歴機能で標準対応</t>
        </is>
      </c>
      <c r="H8" s="27" t="inlineStr">
        <is>
          <t>◎</t>
        </is>
      </c>
      <c r="I8" s="24" t="inlineStr">
        <is>
          <t>関連テーブル(1対多)で標準対応</t>
        </is>
      </c>
      <c r="J8" s="25" t="inlineStr">
        <is>
          <t>○</t>
        </is>
      </c>
      <c r="K8" s="26" t="inlineStr">
        <is>
          <t>DynamoDB/Aurora上でのテーブル設計・実装が必要</t>
        </is>
      </c>
      <c r="L8" s="18" t="inlineStr">
        <is>
          <t>◎</t>
        </is>
      </c>
      <c r="M8" s="18" t="inlineStr">
        <is>
          <t>workhistoryテーブル+TreeIdルックアップ(1:N)で実装済み</t>
        </is>
      </c>
    </row>
    <row r="9" ht="29.85" customHeight="1" s="19">
      <c r="A9" s="22" t="n">
        <v>8</v>
      </c>
      <c r="B9" s="23" t="inlineStr">
        <is>
          <t>台帳</t>
        </is>
      </c>
      <c r="C9" s="24" t="inlineStr">
        <is>
          <t>登録情報は職員が編集できること</t>
        </is>
      </c>
      <c r="D9" s="25" t="inlineStr">
        <is>
          <t>○</t>
        </is>
      </c>
      <c r="E9" s="24" t="inlineStr">
        <is>
          <t>編集権限の粒度は要確認</t>
        </is>
      </c>
      <c r="F9" s="27" t="inlineStr">
        <is>
          <t>◎</t>
        </is>
      </c>
      <c r="G9" s="24" t="inlineStr">
        <is>
          <t>アクセス権設定で対応</t>
        </is>
      </c>
      <c r="H9" s="27" t="inlineStr">
        <is>
          <t>◎</t>
        </is>
      </c>
      <c r="I9" s="24" t="inlineStr">
        <is>
          <t>セキュリティロールで制御</t>
        </is>
      </c>
      <c r="J9" s="25" t="inlineStr">
        <is>
          <t>○</t>
        </is>
      </c>
      <c r="K9" s="26" t="inlineStr">
        <is>
          <t>AppSyncリゾルバでの権限制御ロジック実装が必要</t>
        </is>
      </c>
      <c r="L9" s="18" t="inlineStr">
        <is>
          <t>◎</t>
        </is>
      </c>
      <c r="M9" s="18" t="inlineStr">
        <is>
          <t>セキュリティロールのCRU権限で制御済み</t>
        </is>
      </c>
    </row>
    <row r="10" ht="29.85" customHeight="1" s="19">
      <c r="A10" s="22" t="n">
        <v>9</v>
      </c>
      <c r="B10" s="23" t="inlineStr">
        <is>
          <t>台帳</t>
        </is>
      </c>
      <c r="C10" s="24" t="inlineStr">
        <is>
          <t>樹木の作業前後の写真を登録できること</t>
        </is>
      </c>
      <c r="D10" s="27" t="inlineStr">
        <is>
          <t>◎</t>
        </is>
      </c>
      <c r="E10" s="24" t="inlineStr">
        <is>
          <t>診断カルテの被害部写真運用が標準機能</t>
        </is>
      </c>
      <c r="F10" s="27" t="inlineStr">
        <is>
          <t>◎</t>
        </is>
      </c>
      <c r="G10" s="24" t="inlineStr">
        <is>
          <t>添付ファイルフィールドで標準対応</t>
        </is>
      </c>
      <c r="H10" s="27" t="inlineStr">
        <is>
          <t>◎</t>
        </is>
      </c>
      <c r="I10" s="26" t="inlineStr">
        <is>
          <t>Dataverseのファイル/イメージ列で標準対応</t>
        </is>
      </c>
      <c r="J10" s="27" t="inlineStr">
        <is>
          <t>◎</t>
        </is>
      </c>
      <c r="K10" s="26" t="inlineStr">
        <is>
          <t>S3+Amplify Storageで標準的に対応可能</t>
        </is>
      </c>
      <c r="L10" s="18" t="inlineStr">
        <is>
          <t>◎</t>
        </is>
      </c>
      <c r="M10" s="18" t="inlineStr">
        <is>
          <t>workhistoryはHasNotes=True(Dataverse標準の添付機能)で実装済み。ユーザー確認により訂正(2026-08-28)。専用の写真列は不要と判断</t>
        </is>
      </c>
    </row>
    <row r="11" ht="29.85" customHeight="1" s="19">
      <c r="A11" s="22" t="n">
        <v>10</v>
      </c>
      <c r="B11" s="23" t="inlineStr">
        <is>
          <t>台帳</t>
        </is>
      </c>
      <c r="C11" s="24" t="inlineStr">
        <is>
          <t>台帳更新履歴を記録、参照できること</t>
        </is>
      </c>
      <c r="D11" s="25" t="inlineStr">
        <is>
          <t>○</t>
        </is>
      </c>
      <c r="E11" s="24" t="inlineStr">
        <is>
          <t>製品によりログ粒度が異なる</t>
        </is>
      </c>
      <c r="F11" s="27" t="inlineStr">
        <is>
          <t>◎</t>
        </is>
      </c>
      <c r="G11" s="24" t="inlineStr">
        <is>
          <t>更新履歴機能が標準搭載</t>
        </is>
      </c>
      <c r="H11" s="27" t="inlineStr">
        <is>
          <t>◎</t>
        </is>
      </c>
      <c r="I11" s="26" t="inlineStr">
        <is>
          <t>Dataverseの監査(Audit)機能が標準搭載</t>
        </is>
      </c>
      <c r="J11" s="25" t="inlineStr">
        <is>
          <t>○</t>
        </is>
      </c>
      <c r="K11" s="26" t="inlineStr">
        <is>
          <t>DynamoDB StreamsやDB監査ログの実装が必要</t>
        </is>
      </c>
      <c r="L11" s="18" t="inlineStr">
        <is>
          <t>○</t>
        </is>
      </c>
      <c r="M11" s="18" t="inlineStr">
        <is>
          <t>Dataverse監査(Audit)機能は標準搭載。ただし本環境での有効化・動作確認は未実施</t>
        </is>
      </c>
    </row>
    <row r="12" ht="29.85" customHeight="1" s="19">
      <c r="A12" s="22" t="n">
        <v>11</v>
      </c>
      <c r="B12" s="23" t="inlineStr">
        <is>
          <t>台帳</t>
        </is>
      </c>
      <c r="C12" s="24" t="inlineStr">
        <is>
          <t>特定の形式(CSV、Excel、PDFなど)で取込、出力ができること</t>
        </is>
      </c>
      <c r="D12" s="27" t="inlineStr">
        <is>
          <t>◎</t>
        </is>
      </c>
      <c r="E12" s="26" t="inlineStr">
        <is>
          <t>Excel/PDF帳票の入出力が製品の強み</t>
        </is>
      </c>
      <c r="F12" s="27" t="inlineStr">
        <is>
          <t>◎</t>
        </is>
      </c>
      <c r="G12" s="26" t="inlineStr">
        <is>
          <t>CSV連携・帳票プラグインで標準対応</t>
        </is>
      </c>
      <c r="H12" s="27" t="inlineStr">
        <is>
          <t>◎</t>
        </is>
      </c>
      <c r="I12" s="26" t="inlineStr">
        <is>
          <t>Excel連携がPower Platformの強み、PDFはPower Automateで生成</t>
        </is>
      </c>
      <c r="J12" s="25" t="inlineStr">
        <is>
          <t>○</t>
        </is>
      </c>
      <c r="K12" s="26" t="inlineStr">
        <is>
          <t>Lambda関数によるインポート/エクスポート処理を個別実装</t>
        </is>
      </c>
      <c r="L12" s="18" t="inlineStr">
        <is>
          <t>✗</t>
        </is>
      </c>
      <c r="M12" s="18" t="inlineStr">
        <is>
          <t>CSV/Excel/PDF入出力(Power Automate等)の実装は未着手</t>
        </is>
      </c>
    </row>
    <row r="13" ht="58.2" customHeight="1" s="19">
      <c r="A13" s="22" t="n">
        <v>12</v>
      </c>
      <c r="B13" s="23" t="inlineStr">
        <is>
          <t>台帳</t>
        </is>
      </c>
      <c r="C13" s="24" t="inlineStr">
        <is>
          <t>将来的に構築を予定している外部公開用システムとの連携を見据え、必要なデータを容易に抽出・連携できるデータ構造及びシステム構成とすること</t>
        </is>
      </c>
      <c r="D13" s="28" t="inlineStr">
        <is>
          <t>△</t>
        </is>
      </c>
      <c r="E13" s="24" t="inlineStr">
        <is>
          <t>個別のAPI開発が必要な場合が多い</t>
        </is>
      </c>
      <c r="F13" s="27" t="inlineStr">
        <is>
          <t>◎</t>
        </is>
      </c>
      <c r="G13" s="26" t="inlineStr">
        <is>
          <t>REST API連携が標準機能</t>
        </is>
      </c>
      <c r="H13" s="27" t="inlineStr">
        <is>
          <t>◎</t>
        </is>
      </c>
      <c r="I13" s="26" t="inlineStr">
        <is>
          <t>Dataverse Web API/Power Pagesで公開連携が容易</t>
        </is>
      </c>
      <c r="J13" s="27" t="inlineStr">
        <is>
          <t>◎</t>
        </is>
      </c>
      <c r="K13" s="26" t="inlineStr">
        <is>
          <t>AppSync GraphQL APIが外部連携の標準的な窓口になる</t>
        </is>
      </c>
      <c r="L13" s="18" t="inlineStr">
        <is>
          <t>◎</t>
        </is>
      </c>
      <c r="M13" s="18" t="inlineStr">
        <is>
          <t>Dataverse Web APIで標準的に満たす(create_*.py自体がその実証)</t>
        </is>
      </c>
    </row>
    <row r="14" ht="44" customHeight="1" s="19">
      <c r="A14" s="22" t="n">
        <v>13</v>
      </c>
      <c r="B14" s="23" t="inlineStr">
        <is>
          <t>台帳</t>
        </is>
      </c>
      <c r="C14" s="24" t="inlineStr">
        <is>
          <t>陳情、作業の予定、進捗状況、履歴を一覧やカレンダーで確認ができること、また期間を指定して検索ができること</t>
        </is>
      </c>
      <c r="D14" s="28" t="inlineStr">
        <is>
          <t>△</t>
        </is>
      </c>
      <c r="E14" s="24" t="inlineStr">
        <is>
          <t>簡易的なカレンダー機能にとどまる製品が多い</t>
        </is>
      </c>
      <c r="F14" s="27" t="inlineStr">
        <is>
          <t>◎</t>
        </is>
      </c>
      <c r="G14" s="26" t="inlineStr">
        <is>
          <t>kintoneカレンダービューが標準機能</t>
        </is>
      </c>
      <c r="H14" s="25" t="inlineStr">
        <is>
          <t>○</t>
        </is>
      </c>
      <c r="I14" s="24" t="inlineStr">
        <is>
          <t>モデル駆動アプリのカレンダービューは標準搭載、陳情等のカスタムテーブル設計が必要</t>
        </is>
      </c>
      <c r="J14" s="25" t="inlineStr">
        <is>
          <t>○</t>
        </is>
      </c>
      <c r="K14" s="24" t="inlineStr">
        <is>
          <t>カレンダーUIをフロントエンドで個別実装する必要あり</t>
        </is>
      </c>
      <c r="L14" s="18" t="inlineStr">
        <is>
          <t>△</t>
        </is>
      </c>
      <c r="M14" s="18" t="inlineStr">
        <is>
          <t>complaint/workhistoryテーブルはあるが、カレンダービュー・期間検索ビューは未構築</t>
        </is>
      </c>
    </row>
    <row r="15" ht="29.85" customHeight="1" s="19">
      <c r="A15" s="22" t="n">
        <v>14</v>
      </c>
      <c r="B15" s="23" t="inlineStr">
        <is>
          <t>台帳</t>
        </is>
      </c>
      <c r="C15" s="24" t="inlineStr">
        <is>
          <t>備考欄に植替えの経緯などの補足情報を自由に記録できること</t>
        </is>
      </c>
      <c r="D15" s="27" t="inlineStr">
        <is>
          <t>◎</t>
        </is>
      </c>
      <c r="E15" s="24" t="inlineStr">
        <is>
          <t>標準機能</t>
        </is>
      </c>
      <c r="F15" s="27" t="inlineStr">
        <is>
          <t>◎</t>
        </is>
      </c>
      <c r="G15" s="24" t="inlineStr">
        <is>
          <t>標準機能</t>
        </is>
      </c>
      <c r="H15" s="27" t="inlineStr">
        <is>
          <t>◎</t>
        </is>
      </c>
      <c r="I15" s="24" t="inlineStr">
        <is>
          <t>標準機能</t>
        </is>
      </c>
      <c r="J15" s="27" t="inlineStr">
        <is>
          <t>◎</t>
        </is>
      </c>
      <c r="K15" s="24" t="inlineStr">
        <is>
          <t>単純なテキストフィールドで標準対応</t>
        </is>
      </c>
      <c r="L15" s="18" t="inlineStr">
        <is>
          <t>◎</t>
        </is>
      </c>
      <c r="M15" s="18" t="inlineStr">
        <is>
          <t>各テーブルにNotes等の自由記述列あり</t>
        </is>
      </c>
    </row>
    <row r="16" ht="29.85" customHeight="1" s="19">
      <c r="A16" s="22" t="n">
        <v>15</v>
      </c>
      <c r="B16" s="23" t="inlineStr">
        <is>
          <t>台帳</t>
        </is>
      </c>
      <c r="C16" s="24" t="inlineStr">
        <is>
          <t>診断カルテ(PDF)等の添付ファイルを保存できること</t>
        </is>
      </c>
      <c r="D16" s="27" t="inlineStr">
        <is>
          <t>◎</t>
        </is>
      </c>
      <c r="E16" s="24" t="inlineStr">
        <is>
          <t>本業務の主機能</t>
        </is>
      </c>
      <c r="F16" s="27" t="inlineStr">
        <is>
          <t>◎</t>
        </is>
      </c>
      <c r="G16" s="24" t="inlineStr">
        <is>
          <t>添付ファイルフィールドで標準対応</t>
        </is>
      </c>
      <c r="H16" s="27" t="inlineStr">
        <is>
          <t>◎</t>
        </is>
      </c>
      <c r="I16" s="24" t="inlineStr">
        <is>
          <t>ファイル列で標準対応</t>
        </is>
      </c>
      <c r="J16" s="27" t="inlineStr">
        <is>
          <t>◎</t>
        </is>
      </c>
      <c r="K16" s="26" t="inlineStr">
        <is>
          <t>S3経由での保存で標準対応</t>
        </is>
      </c>
      <c r="L16" s="18" t="inlineStr">
        <is>
          <t>◎</t>
        </is>
      </c>
      <c r="M16" s="18" t="inlineStr">
        <is>
          <t>diagnosis.DiagnosisReportFile列で実装済み</t>
        </is>
      </c>
    </row>
    <row r="17" ht="29.85" customHeight="1" s="19">
      <c r="A17" s="22" t="n">
        <v>16</v>
      </c>
      <c r="B17" s="23" t="inlineStr">
        <is>
          <t>台帳</t>
        </is>
      </c>
      <c r="C17" s="24" t="inlineStr">
        <is>
          <t>植替え前の樹木番号を引き継ぎ、新規に樹木情報を登録できること</t>
        </is>
      </c>
      <c r="D17" s="25" t="inlineStr">
        <is>
          <t>○</t>
        </is>
      </c>
      <c r="E17" s="24" t="inlineStr">
        <is>
          <t>運用ルールの作り込みが必要</t>
        </is>
      </c>
      <c r="F17" s="25" t="inlineStr">
        <is>
          <t>○</t>
        </is>
      </c>
      <c r="G17" s="24" t="inlineStr">
        <is>
          <t>レコード複製・関連レコード機能で対応可能</t>
        </is>
      </c>
      <c r="H17" s="25" t="inlineStr">
        <is>
          <t>○</t>
        </is>
      </c>
      <c r="I17" s="24" t="inlineStr">
        <is>
          <t>ビジネスルール・Power Automateでの実装が必要</t>
        </is>
      </c>
      <c r="J17" s="25" t="inlineStr">
        <is>
          <t>○</t>
        </is>
      </c>
      <c r="K17" s="26" t="inlineStr">
        <is>
          <t>Lambdaによる業務ロジックの個別実装が必要</t>
        </is>
      </c>
      <c r="L17" s="18" t="inlineStr">
        <is>
          <t>◎</t>
        </is>
      </c>
      <c r="M17" s="18" t="inlineStr">
        <is>
          <t>replant.ReplantFromTreeId + Power Automateで実装・動作確認済み(README記載)</t>
        </is>
      </c>
    </row>
    <row r="18" ht="15" customHeight="1" s="19">
      <c r="A18" s="22" t="n">
        <v>17</v>
      </c>
      <c r="B18" s="23" t="inlineStr">
        <is>
          <t>台帳</t>
        </is>
      </c>
      <c r="C18" s="24" t="inlineStr">
        <is>
          <t>植替え前の樹木情報を保管できること</t>
        </is>
      </c>
      <c r="D18" s="25" t="inlineStr">
        <is>
          <t>○</t>
        </is>
      </c>
      <c r="E18" s="24" t="inlineStr">
        <is>
          <t>運用ルール次第で対応</t>
        </is>
      </c>
      <c r="F18" s="25" t="inlineStr">
        <is>
          <t>○</t>
        </is>
      </c>
      <c r="G18" s="24" t="inlineStr">
        <is>
          <t>履歴レコードとして保管可能</t>
        </is>
      </c>
      <c r="H18" s="25" t="inlineStr">
        <is>
          <t>○</t>
        </is>
      </c>
      <c r="I18" s="24" t="inlineStr">
        <is>
          <t>履歴テーブルの設計が必要</t>
        </is>
      </c>
      <c r="J18" s="25" t="inlineStr">
        <is>
          <t>○</t>
        </is>
      </c>
      <c r="K18" s="24" t="inlineStr">
        <is>
          <t>履歴用テーブルの個別設計が必要</t>
        </is>
      </c>
      <c r="L18" s="18" t="inlineStr">
        <is>
          <t>◎</t>
        </is>
      </c>
      <c r="M18" s="18" t="inlineStr">
        <is>
          <t>replantテーブルでOldTreeId保持、旧樹木ステータス自動更新も実装済み</t>
        </is>
      </c>
    </row>
    <row r="19" ht="29.85" customHeight="1" s="19">
      <c r="A19" s="22" t="n">
        <v>18</v>
      </c>
      <c r="B19" s="23" t="inlineStr">
        <is>
          <t>台帳</t>
        </is>
      </c>
      <c r="C19" s="24" t="inlineStr">
        <is>
          <t>削除したデータも履歴情報として保管できること</t>
        </is>
      </c>
      <c r="D19" s="28" t="inlineStr">
        <is>
          <t>△</t>
        </is>
      </c>
      <c r="E19" s="24" t="inlineStr">
        <is>
          <t>論理削除機能の有無は製品次第</t>
        </is>
      </c>
      <c r="F19" s="25" t="inlineStr">
        <is>
          <t>○</t>
        </is>
      </c>
      <c r="G19" s="24" t="inlineStr">
        <is>
          <t>論理削除の実装が必要</t>
        </is>
      </c>
      <c r="H19" s="27" t="inlineStr">
        <is>
          <t>◎</t>
        </is>
      </c>
      <c r="I19" s="26" t="inlineStr">
        <is>
          <t>Dataverseの論理削除(ソフトデリート)機能が標準搭載</t>
        </is>
      </c>
      <c r="J19" s="25" t="inlineStr">
        <is>
          <t>○</t>
        </is>
      </c>
      <c r="K19" s="24" t="inlineStr">
        <is>
          <t>ソフトデリート機構をアプリ側で個別実装する必要あり</t>
        </is>
      </c>
      <c r="L19" s="18" t="inlineStr">
        <is>
          <t>？</t>
        </is>
      </c>
      <c r="M19" s="18" t="inlineStr">
        <is>
          <t>Dataverse標準のソフトデリート機能はあるが、有効化・動作確認は未実施</t>
        </is>
      </c>
    </row>
    <row r="20" ht="29.85" customHeight="1" s="19">
      <c r="A20" s="22" t="n">
        <v>19</v>
      </c>
      <c r="B20" s="23" t="inlineStr">
        <is>
          <t>台帳</t>
        </is>
      </c>
      <c r="C20" s="24" t="inlineStr">
        <is>
          <t>台帳の各項目毎に絞り込み検索ができること</t>
        </is>
      </c>
      <c r="D20" s="25" t="inlineStr">
        <is>
          <t>○</t>
        </is>
      </c>
      <c r="E20" s="24" t="inlineStr">
        <is>
          <t>検索機能の柔軟性は製品次第</t>
        </is>
      </c>
      <c r="F20" s="27" t="inlineStr">
        <is>
          <t>◎</t>
        </is>
      </c>
      <c r="G20" s="24" t="inlineStr">
        <is>
          <t>絞り込み検索・一覧ビューが標準機能</t>
        </is>
      </c>
      <c r="H20" s="27" t="inlineStr">
        <is>
          <t>◎</t>
        </is>
      </c>
      <c r="I20" s="24" t="inlineStr">
        <is>
          <t>ビュー・高度な検索が標準機能</t>
        </is>
      </c>
      <c r="J20" s="25" t="inlineStr">
        <is>
          <t>○</t>
        </is>
      </c>
      <c r="K20" s="26" t="inlineStr">
        <is>
          <t>OpenSearch連携等の検索基盤を個別実装する必要あり</t>
        </is>
      </c>
      <c r="L20" s="18" t="inlineStr">
        <is>
          <t>○</t>
        </is>
      </c>
      <c r="M20" s="18" t="inlineStr">
        <is>
          <t>Dataverseの高度な検索・ビューは標準機能(個別実装不要)</t>
        </is>
      </c>
    </row>
    <row r="21" ht="29.85" customHeight="1" s="19">
      <c r="A21" s="22" t="n">
        <v>20</v>
      </c>
      <c r="B21" s="23" t="inlineStr">
        <is>
          <t>台帳</t>
        </is>
      </c>
      <c r="C21" s="24" t="inlineStr">
        <is>
          <t>指定した期間の樹木数量(樹種毎の本数、植樹本数、伐採本数など)を計算できること</t>
        </is>
      </c>
      <c r="D21" s="25" t="inlineStr">
        <is>
          <t>○</t>
        </is>
      </c>
      <c r="E21" s="24" t="inlineStr">
        <is>
          <t>簡易集計にとどまる場合あり</t>
        </is>
      </c>
      <c r="F21" s="25" t="inlineStr">
        <is>
          <t>○</t>
        </is>
      </c>
      <c r="G21" s="24" t="inlineStr">
        <is>
          <t>グラフ・集計機能またはクエリで対応可能</t>
        </is>
      </c>
      <c r="H21" s="25" t="inlineStr">
        <is>
          <t>○</t>
        </is>
      </c>
      <c r="I21" s="26" t="inlineStr">
        <is>
          <t>Power BI埋め込みまたは集計ビューで対応</t>
        </is>
      </c>
      <c r="J21" s="25" t="inlineStr">
        <is>
          <t>○</t>
        </is>
      </c>
      <c r="K21" s="24" t="inlineStr">
        <is>
          <t>集計用Lambda/クエリを個別実装する必要あり</t>
        </is>
      </c>
      <c r="L21" s="18" t="inlineStr">
        <is>
          <t>✗</t>
        </is>
      </c>
      <c r="M21" s="18" t="inlineStr">
        <is>
          <t>集計ビュー/Power BI連携は未着手</t>
        </is>
      </c>
    </row>
    <row r="22" ht="29.85" customHeight="1" s="19">
      <c r="A22" s="22" t="n">
        <v>21</v>
      </c>
      <c r="B22" s="23" t="inlineStr">
        <is>
          <t>台帳</t>
        </is>
      </c>
      <c r="C22" s="24" t="inlineStr">
        <is>
          <t>街路樹管理委託業者アカウントから閲覧、作業履歴の登録ができること</t>
        </is>
      </c>
      <c r="D22" s="27" t="inlineStr">
        <is>
          <t>◎</t>
        </is>
      </c>
      <c r="E22" s="24" t="inlineStr">
        <is>
          <t>委託業者との情報共有が製品の主用途</t>
        </is>
      </c>
      <c r="F22" s="27" t="inlineStr">
        <is>
          <t>◎</t>
        </is>
      </c>
      <c r="G22" s="24" t="inlineStr">
        <is>
          <t>ゲストアクセス権機能で標準対応</t>
        </is>
      </c>
      <c r="H22" s="25" t="inlineStr">
        <is>
          <t>○</t>
        </is>
      </c>
      <c r="I22" s="24" t="inlineStr">
        <is>
          <t>外部ゲストアクセス(Entra External ID/B2B)の設計が必要</t>
        </is>
      </c>
      <c r="J22" s="27" t="inlineStr">
        <is>
          <t>◎</t>
        </is>
      </c>
      <c r="K22" s="26" t="inlineStr">
        <is>
          <t>Cognitoの外部ユーザープールで標準的に対応可能</t>
        </is>
      </c>
      <c r="L22" s="18" t="inlineStr">
        <is>
          <t>◎</t>
        </is>
      </c>
      <c r="M22" s="18" t="inlineStr">
        <is>
          <t>「街路樹管理委託事業者」ロールで担当エリア単位のCRU権限を実装・検証済み</t>
        </is>
      </c>
    </row>
    <row r="23" ht="29.85" customHeight="1" s="19">
      <c r="A23" s="22" t="n">
        <v>22</v>
      </c>
      <c r="B23" s="23" t="inlineStr">
        <is>
          <t>台帳</t>
        </is>
      </c>
      <c r="C23" s="24" t="inlineStr">
        <is>
          <t>現地からスマートフォンで登録ができること</t>
        </is>
      </c>
      <c r="D23" s="27" t="inlineStr">
        <is>
          <t>◎</t>
        </is>
      </c>
      <c r="E23" s="24" t="inlineStr">
        <is>
          <t>タブレット/スマホでの現地入力が製品の強み</t>
        </is>
      </c>
      <c r="F23" s="25" t="inlineStr">
        <is>
          <t>○</t>
        </is>
      </c>
      <c r="G23" s="26" t="inlineStr">
        <is>
          <t>ArcGIS Field Mapsで対応、kintone連携の設計が必要</t>
        </is>
      </c>
      <c r="H23" s="27" t="inlineStr">
        <is>
          <t>◎</t>
        </is>
      </c>
      <c r="I23" s="26" t="inlineStr">
        <is>
          <t>Power Appsのモバイルアプリ機能で標準対応</t>
        </is>
      </c>
      <c r="J23" s="25" t="inlineStr">
        <is>
          <t>○</t>
        </is>
      </c>
      <c r="K23" s="26" t="inlineStr">
        <is>
          <t>Amplifyでモバイル/PWA対応は可能だがアプリ実装が必要</t>
        </is>
      </c>
      <c r="L23" s="18" t="inlineStr">
        <is>
          <t>？</t>
        </is>
      </c>
      <c r="M23" s="18" t="inlineStr">
        <is>
          <t>Power Appsモバイルアプリでの実機動作確認は未実施</t>
        </is>
      </c>
    </row>
    <row r="24" ht="29.85" customHeight="1" s="19">
      <c r="A24" s="22" t="n">
        <v>23</v>
      </c>
      <c r="B24" s="23" t="inlineStr">
        <is>
          <t>台帳</t>
        </is>
      </c>
      <c r="C24" s="24" t="inlineStr">
        <is>
          <t>未入力や入力形式誤りを検知してエラー表示ができること</t>
        </is>
      </c>
      <c r="D24" s="25" t="inlineStr">
        <is>
          <t>○</t>
        </is>
      </c>
      <c r="E24" s="24" t="inlineStr">
        <is>
          <t>バリデーション機能の有無は製品次第</t>
        </is>
      </c>
      <c r="F24" s="27" t="inlineStr">
        <is>
          <t>◎</t>
        </is>
      </c>
      <c r="G24" s="24" t="inlineStr">
        <is>
          <t>必須項目・入力規則機能が標準搭載</t>
        </is>
      </c>
      <c r="H24" s="27" t="inlineStr">
        <is>
          <t>◎</t>
        </is>
      </c>
      <c r="I24" s="24" t="inlineStr">
        <is>
          <t>ビジネスルール・必須項目設定で標準対応</t>
        </is>
      </c>
      <c r="J24" s="25" t="inlineStr">
        <is>
          <t>○</t>
        </is>
      </c>
      <c r="K24" s="24" t="inlineStr">
        <is>
          <t>フロントエンド/リゾルバでのバリデーション実装が必要</t>
        </is>
      </c>
      <c r="L24" s="18" t="inlineStr">
        <is>
          <t>？</t>
        </is>
      </c>
      <c r="M24" s="18" t="inlineStr">
        <is>
          <t>ビジネスルール・必須項目設定の実装有無は未確認</t>
        </is>
      </c>
    </row>
    <row r="25" ht="29.85" customHeight="1" s="19">
      <c r="A25" s="22" t="n">
        <v>24</v>
      </c>
      <c r="B25" s="23" t="inlineStr">
        <is>
          <t>台帳</t>
        </is>
      </c>
      <c r="C25" s="24" t="inlineStr">
        <is>
          <t>定期点検や作業の予定を登録できること</t>
        </is>
      </c>
      <c r="D25" s="28" t="inlineStr">
        <is>
          <t>△</t>
        </is>
      </c>
      <c r="E25" s="24" t="inlineStr">
        <is>
          <t>簡易的な製品が多い、要確認</t>
        </is>
      </c>
      <c r="F25" s="27" t="inlineStr">
        <is>
          <t>◎</t>
        </is>
      </c>
      <c r="G25" s="24" t="inlineStr">
        <is>
          <t>タスク・予定管理アプリで標準対応</t>
        </is>
      </c>
      <c r="H25" s="25" t="inlineStr">
        <is>
          <t>○</t>
        </is>
      </c>
      <c r="I25" s="26" t="inlineStr">
        <is>
          <t>Power Automateで予定管理ロジックの構築が必要</t>
        </is>
      </c>
      <c r="J25" s="25" t="inlineStr">
        <is>
          <t>○</t>
        </is>
      </c>
      <c r="K25" s="24" t="inlineStr">
        <is>
          <t>予定管理機能をアプリ側で個別実装する必要あり</t>
        </is>
      </c>
      <c r="L25" s="18" t="inlineStr">
        <is>
          <t>✗</t>
        </is>
      </c>
      <c r="M25" s="18" t="inlineStr">
        <is>
          <t>予定管理ロジック(Power Automate)は未着手</t>
        </is>
      </c>
    </row>
    <row r="26" ht="44" customHeight="1" s="19">
      <c r="A26" s="22" t="n">
        <v>25</v>
      </c>
      <c r="B26" s="23" t="inlineStr">
        <is>
          <t>台帳</t>
        </is>
      </c>
      <c r="C26" s="24" t="inlineStr">
        <is>
          <t>指定した期間の作業予定簿内訳を所定の様式で作成でき、また特定の形式(CSV、Excel、PDFなど)で出力できること</t>
        </is>
      </c>
      <c r="D26" s="28" t="inlineStr">
        <is>
          <t>△</t>
        </is>
      </c>
      <c r="E26" s="24" t="inlineStr">
        <is>
          <t>所定様式への自動整形は個別開発の可能性</t>
        </is>
      </c>
      <c r="F26" s="25" t="inlineStr">
        <is>
          <t>○</t>
        </is>
      </c>
      <c r="G26" s="24" t="inlineStr">
        <is>
          <t>帳票プラグインで対応、様式再現は個別開発の場合あり</t>
        </is>
      </c>
      <c r="H26" s="25" t="inlineStr">
        <is>
          <t>○</t>
        </is>
      </c>
      <c r="I26" s="26" t="inlineStr">
        <is>
          <t>Power Automate+PDF生成で対応、様式再現は個別開発</t>
        </is>
      </c>
      <c r="J26" s="25" t="inlineStr">
        <is>
          <t>○</t>
        </is>
      </c>
      <c r="K26" s="26" t="inlineStr">
        <is>
          <t>Lambda+PDFライブラリで個別実装する必要あり</t>
        </is>
      </c>
      <c r="L26" s="18" t="inlineStr">
        <is>
          <t>✗</t>
        </is>
      </c>
      <c r="M26" s="18" t="inlineStr">
        <is>
          <t>様式出力の実装は未着手</t>
        </is>
      </c>
    </row>
    <row r="27" ht="44" customHeight="1" s="19">
      <c r="A27" s="22" t="n">
        <v>26</v>
      </c>
      <c r="B27" s="23" t="inlineStr">
        <is>
          <t>地図</t>
        </is>
      </c>
      <c r="C27" s="24" t="inlineStr">
        <is>
          <t>樹木はポイントで表示できること</t>
        </is>
      </c>
      <c r="D27" s="27" t="inlineStr">
        <is>
          <t>◎</t>
        </is>
      </c>
      <c r="E27" s="26" t="inlineStr">
        <is>
          <t>GIS表示が製品の主機能</t>
        </is>
      </c>
      <c r="F27" s="27" t="inlineStr">
        <is>
          <t>◎</t>
        </is>
      </c>
      <c r="G27" s="26" t="inlineStr">
        <is>
          <t>ArcGISの標準機能</t>
        </is>
      </c>
      <c r="H27" s="25" t="inlineStr">
        <is>
          <t>○</t>
        </is>
      </c>
      <c r="I27" s="24" t="inlineStr">
        <is>
          <t>標準の地図コントロール(Azure Maps連携)で対応、詳細機能は要検証</t>
        </is>
      </c>
      <c r="J27" s="27" t="inlineStr">
        <is>
          <t>◎</t>
        </is>
      </c>
      <c r="K27" s="26" t="inlineStr">
        <is>
          <t>Amazon Location Serviceの地図表示は標準機能</t>
        </is>
      </c>
      <c r="L27" s="18" t="inlineStr">
        <is>
          <t>◎</t>
        </is>
      </c>
      <c r="M27" s="18" t="inlineStr">
        <is>
          <t>TreeMapControl(PCF)でBubbleLayer表示・動作確認済み(2026-08-28)</t>
        </is>
      </c>
    </row>
    <row r="28" ht="44" customHeight="1" s="19">
      <c r="A28" s="22" t="n">
        <v>27</v>
      </c>
      <c r="B28" s="23" t="inlineStr">
        <is>
          <t>地図</t>
        </is>
      </c>
      <c r="C28" s="24" t="inlineStr">
        <is>
          <t>マウスカーソルが樹木のポイント上にある時、樹木番号を表示できること</t>
        </is>
      </c>
      <c r="D28" s="27" t="inlineStr">
        <is>
          <t>◎</t>
        </is>
      </c>
      <c r="E28" s="24" t="inlineStr">
        <is>
          <t>標準機能</t>
        </is>
      </c>
      <c r="F28" s="27" t="inlineStr">
        <is>
          <t>◎</t>
        </is>
      </c>
      <c r="G28" s="24" t="inlineStr">
        <is>
          <t>ポップアップ機能で標準対応</t>
        </is>
      </c>
      <c r="H28" s="28" t="inlineStr">
        <is>
          <t>△</t>
        </is>
      </c>
      <c r="I28" s="24" t="inlineStr">
        <is>
          <t>標準地図コントロールでの細かいインタラクションはカスタム開発(PCF)が必要</t>
        </is>
      </c>
      <c r="J28" s="25" t="inlineStr">
        <is>
          <t>○</t>
        </is>
      </c>
      <c r="K28" s="26" t="inlineStr">
        <is>
          <t>Location Service SDKでのカスタム実装が必要</t>
        </is>
      </c>
      <c r="L28" s="18" t="inlineStr">
        <is>
          <t>△</t>
        </is>
      </c>
      <c r="M28" s="18" t="inlineStr">
        <is>
          <t>【仕様と差異】現状は常時ラベル表示(SymbolLayer)。「カーソルオン時のみ表示」ではない</t>
        </is>
      </c>
    </row>
    <row r="29" ht="29.85" customHeight="1" s="19">
      <c r="A29" s="22" t="n">
        <v>28</v>
      </c>
      <c r="B29" s="23" t="inlineStr">
        <is>
          <t>地図</t>
        </is>
      </c>
      <c r="C29" s="24" t="inlineStr">
        <is>
          <t>樹木のポイントをクリックすると樹木情報画面に遷移すること</t>
        </is>
      </c>
      <c r="D29" s="27" t="inlineStr">
        <is>
          <t>◎</t>
        </is>
      </c>
      <c r="E29" s="24" t="inlineStr">
        <is>
          <t>標準機能</t>
        </is>
      </c>
      <c r="F29" s="25" t="inlineStr">
        <is>
          <t>○</t>
        </is>
      </c>
      <c r="G29" s="26" t="inlineStr">
        <is>
          <t>GISとkintoneの画面連携設計が必要</t>
        </is>
      </c>
      <c r="H29" s="25" t="inlineStr">
        <is>
          <t>○</t>
        </is>
      </c>
      <c r="I29" s="24" t="inlineStr">
        <is>
          <t>対応可能、画面遷移の設計が必要</t>
        </is>
      </c>
      <c r="J29" s="25" t="inlineStr">
        <is>
          <t>○</t>
        </is>
      </c>
      <c r="K29" s="24" t="inlineStr">
        <is>
          <t>フロントエンドでの画面遷移ロジックを個別実装</t>
        </is>
      </c>
      <c r="L29" s="18" t="inlineStr">
        <is>
          <t>◎</t>
        </is>
      </c>
      <c r="M29" s="18" t="inlineStr">
        <is>
          <t>ポイントクリックでcontext.navigation.openForm()により詳細画面へ遷移する実装・動作確認済み(2026-08-28)</t>
        </is>
      </c>
    </row>
    <row r="30" ht="29.85" customHeight="1" s="19">
      <c r="A30" s="22" t="n">
        <v>29</v>
      </c>
      <c r="B30" s="23" t="inlineStr">
        <is>
          <t>地図</t>
        </is>
      </c>
      <c r="C30" s="24" t="inlineStr">
        <is>
          <t>樹木を地図上で登録できること</t>
        </is>
      </c>
      <c r="D30" s="27" t="inlineStr">
        <is>
          <t>◎</t>
        </is>
      </c>
      <c r="E30" s="24" t="inlineStr">
        <is>
          <t>標準機能</t>
        </is>
      </c>
      <c r="F30" s="27" t="inlineStr">
        <is>
          <t>◎</t>
        </is>
      </c>
      <c r="G30" s="26" t="inlineStr">
        <is>
          <t>ArcGISの標準機能</t>
        </is>
      </c>
      <c r="H30" s="25" t="inlineStr">
        <is>
          <t>○</t>
        </is>
      </c>
      <c r="I30" s="26" t="inlineStr">
        <is>
          <t>Azure Maps連携のカスタム実装(PCF)が必要</t>
        </is>
      </c>
      <c r="J30" s="25" t="inlineStr">
        <is>
          <t>○</t>
        </is>
      </c>
      <c r="K30" s="26" t="inlineStr">
        <is>
          <t>Location Service SDKを用いたカスタム実装が必要</t>
        </is>
      </c>
      <c r="L30" s="18" t="inlineStr">
        <is>
          <t>◎</t>
        </is>
      </c>
      <c r="M30" s="18" t="inlineStr">
        <is>
          <t>作成権限(Create/Global)がある場合、空き地クリックでwebAPI.createRecord()により新規作成し詳細フォームを開く実装・動作確認済み(2026-08-28)</t>
        </is>
      </c>
    </row>
    <row r="31" ht="29.85" customHeight="1" s="19">
      <c r="A31" s="22" t="n">
        <v>30</v>
      </c>
      <c r="B31" s="23" t="inlineStr">
        <is>
          <t>地図</t>
        </is>
      </c>
      <c r="C31" s="24" t="inlineStr">
        <is>
          <t>ドラッグで位置を修正できること</t>
        </is>
      </c>
      <c r="D31" s="25" t="inlineStr">
        <is>
          <t>○</t>
        </is>
      </c>
      <c r="E31" s="24" t="inlineStr">
        <is>
          <t>製品仕様次第</t>
        </is>
      </c>
      <c r="F31" s="27" t="inlineStr">
        <is>
          <t>◎</t>
        </is>
      </c>
      <c r="G31" s="26" t="inlineStr">
        <is>
          <t>ArcGISの標準機能</t>
        </is>
      </c>
      <c r="H31" s="28" t="inlineStr">
        <is>
          <t>△</t>
        </is>
      </c>
      <c r="I31" s="24" t="inlineStr">
        <is>
          <t>標準コントロールでは限定的、PCFカスタムコンポーネントが必要</t>
        </is>
      </c>
      <c r="J31" s="28" t="inlineStr">
        <is>
          <t>△</t>
        </is>
      </c>
      <c r="K31" s="24" t="inlineStr">
        <is>
          <t>ドラッグ&amp;ドロップの地図操作をSDKレベルで個別実装する必要あり</t>
        </is>
      </c>
      <c r="L31" s="18" t="inlineStr">
        <is>
          <t>◎</t>
        </is>
      </c>
      <c r="M31" s="18" t="inlineStr">
        <is>
          <t>更新権限(Write/Global)がある場合、ポイントのドラッグで位置修正可能。実装・動作確認済み(2026-08-28)</t>
        </is>
      </c>
    </row>
    <row r="32" ht="29.85" customHeight="1" s="19">
      <c r="A32" s="22" t="n">
        <v>31</v>
      </c>
      <c r="B32" s="23" t="inlineStr">
        <is>
          <t>地図</t>
        </is>
      </c>
      <c r="C32" s="24" t="inlineStr">
        <is>
          <t>ドラッグ先で、位置情報(緯度経度)を取得できること</t>
        </is>
      </c>
      <c r="D32" s="27" t="inlineStr">
        <is>
          <t>◎</t>
        </is>
      </c>
      <c r="E32" s="24" t="inlineStr">
        <is>
          <t>標準機能</t>
        </is>
      </c>
      <c r="F32" s="27" t="inlineStr">
        <is>
          <t>◎</t>
        </is>
      </c>
      <c r="G32" s="24" t="inlineStr">
        <is>
          <t>標準機能</t>
        </is>
      </c>
      <c r="H32" s="28" t="inlineStr">
        <is>
          <t>△</t>
        </is>
      </c>
      <c r="I32" s="24" t="inlineStr">
        <is>
          <t>同上のPCFカスタム実装に依存</t>
        </is>
      </c>
      <c r="J32" s="25" t="inlineStr">
        <is>
          <t>○</t>
        </is>
      </c>
      <c r="K32" s="26" t="inlineStr">
        <is>
          <t>Location Service SDKのイベントで取得可能(実装要)</t>
        </is>
      </c>
      <c r="L32" s="18" t="inlineStr">
        <is>
          <t>◎</t>
        </is>
      </c>
      <c r="M32" s="18" t="inlineStr">
        <is>
          <t>#30と同時実装。ドラッグ終了時の座標をwebAPI.updateRecord()でDataverseへ反映済み(2026-08-28)</t>
        </is>
      </c>
    </row>
    <row r="33" ht="29.85" customHeight="1" s="19">
      <c r="A33" s="22" t="n">
        <v>32</v>
      </c>
      <c r="B33" s="23" t="inlineStr">
        <is>
          <t>地図</t>
        </is>
      </c>
      <c r="C33" s="24" t="inlineStr">
        <is>
          <t>樹木の新設、撤去に応じて地図表示を変更できること(管理者アカウント)</t>
        </is>
      </c>
      <c r="D33" s="28" t="inlineStr">
        <is>
          <t>△</t>
        </is>
      </c>
      <c r="E33" s="24" t="inlineStr">
        <is>
          <t>製品仕様に依存</t>
        </is>
      </c>
      <c r="F33" s="25" t="inlineStr">
        <is>
          <t>○</t>
        </is>
      </c>
      <c r="G33" s="24" t="inlineStr">
        <is>
          <t>権限設定とレイヤー制御の組み合わせで対応</t>
        </is>
      </c>
      <c r="H33" s="25" t="inlineStr">
        <is>
          <t>○</t>
        </is>
      </c>
      <c r="I33" s="24" t="inlineStr">
        <is>
          <t>ロール制御とレイヤー設計の組み合わせで対応</t>
        </is>
      </c>
      <c r="J33" s="25" t="inlineStr">
        <is>
          <t>○</t>
        </is>
      </c>
      <c r="K33" s="24" t="inlineStr">
        <is>
          <t>権限制御とレイヤー切替をアプリ側で個別実装</t>
        </is>
      </c>
      <c r="L33" s="18" t="inlineStr">
        <is>
          <t>◎</t>
        </is>
      </c>
      <c r="M33" s="18" t="inlineStr">
        <is>
          <t>既存の再描画の仕組み(データセット変更時の自動再同期)で対応。あわせて全件が表示されない不具合(ページング設定が初回ロードに間に合わない)も修正済み(2026-08-28)</t>
        </is>
      </c>
    </row>
    <row r="34" ht="29.85" customHeight="1" s="19">
      <c r="A34" s="22" t="n">
        <v>33</v>
      </c>
      <c r="B34" s="23" t="inlineStr">
        <is>
          <t>地図</t>
        </is>
      </c>
      <c r="C34" s="24" t="inlineStr">
        <is>
          <t>スマートフォン等から位置情報を自動取得できること</t>
        </is>
      </c>
      <c r="D34" s="27" t="inlineStr">
        <is>
          <t>◎</t>
        </is>
      </c>
      <c r="E34" s="24" t="inlineStr">
        <is>
          <t>現地入力機能の一部として標準対応</t>
        </is>
      </c>
      <c r="F34" s="27" t="inlineStr">
        <is>
          <t>◎</t>
        </is>
      </c>
      <c r="G34" s="26" t="inlineStr">
        <is>
          <t>ArcGIS Field MapsのGPS機能で標準対応</t>
        </is>
      </c>
      <c r="H34" s="27" t="inlineStr">
        <is>
          <t>◎</t>
        </is>
      </c>
      <c r="I34" s="26" t="inlineStr">
        <is>
          <t>Power Appsの位置情報関数で標準対応</t>
        </is>
      </c>
      <c r="J34" s="27" t="inlineStr">
        <is>
          <t>◎</t>
        </is>
      </c>
      <c r="K34" s="24" t="inlineStr">
        <is>
          <t>ブラウザ/モバイルの位置情報APIで標準的に取得可能</t>
        </is>
      </c>
      <c r="L34" s="18" t="inlineStr">
        <is>
          <t>✗</t>
        </is>
      </c>
      <c r="M34" s="18" t="inlineStr">
        <is>
          <t>位置情報自動取得コードなし</t>
        </is>
      </c>
    </row>
    <row r="35" ht="29.85" customHeight="1" s="19">
      <c r="A35" s="22" t="n">
        <v>34</v>
      </c>
      <c r="B35" s="23" t="inlineStr">
        <is>
          <t>地図</t>
        </is>
      </c>
      <c r="C35" s="24" t="inlineStr">
        <is>
          <t>削除したデータも履歴情報として保管できること</t>
        </is>
      </c>
      <c r="D35" s="28" t="inlineStr">
        <is>
          <t>△</t>
        </is>
      </c>
      <c r="E35" s="24" t="inlineStr">
        <is>
          <t>論理削除機能の有無は要確認</t>
        </is>
      </c>
      <c r="F35" s="25" t="inlineStr">
        <is>
          <t>○</t>
        </is>
      </c>
      <c r="G35" s="24" t="inlineStr">
        <is>
          <t>論理削除の実装が必要</t>
        </is>
      </c>
      <c r="H35" s="27" t="inlineStr">
        <is>
          <t>◎</t>
        </is>
      </c>
      <c r="I35" s="26" t="inlineStr">
        <is>
          <t>Dataverse標準のソフトデリート機能</t>
        </is>
      </c>
      <c r="J35" s="25" t="inlineStr">
        <is>
          <t>○</t>
        </is>
      </c>
      <c r="K35" s="24" t="inlineStr">
        <is>
          <t>ソフトデリート機構を個別実装する必要あり</t>
        </is>
      </c>
      <c r="L35" s="18" t="inlineStr">
        <is>
          <t>？</t>
        </is>
      </c>
      <c r="M35" s="18" t="inlineStr">
        <is>
          <t>18と同様、ソフトデリートの有効化・動作確認は未実施</t>
        </is>
      </c>
    </row>
    <row r="36" ht="15" customHeight="1" s="19">
      <c r="A36" s="22" t="n">
        <v>35</v>
      </c>
      <c r="B36" s="23" t="inlineStr">
        <is>
          <t>地図</t>
        </is>
      </c>
      <c r="C36" s="24" t="inlineStr">
        <is>
          <t>台帳の各項目毎に絞り込み検索ができること</t>
        </is>
      </c>
      <c r="D36" s="25" t="inlineStr">
        <is>
          <t>○</t>
        </is>
      </c>
      <c r="E36" s="24" t="inlineStr">
        <is>
          <t>検索機能の柔軟性は製品次第</t>
        </is>
      </c>
      <c r="F36" s="27" t="inlineStr">
        <is>
          <t>◎</t>
        </is>
      </c>
      <c r="G36" s="24" t="inlineStr">
        <is>
          <t>標準機能</t>
        </is>
      </c>
      <c r="H36" s="27" t="inlineStr">
        <is>
          <t>◎</t>
        </is>
      </c>
      <c r="I36" s="24" t="inlineStr">
        <is>
          <t>標準機能</t>
        </is>
      </c>
      <c r="J36" s="25" t="inlineStr">
        <is>
          <t>○</t>
        </is>
      </c>
      <c r="K36" s="24" t="inlineStr">
        <is>
          <t>検索機能を個別実装する必要あり</t>
        </is>
      </c>
      <c r="L36" s="18" t="inlineStr">
        <is>
          <t>○</t>
        </is>
      </c>
      <c r="M36" s="18" t="inlineStr">
        <is>
          <t>Dataverseの高度な検索は標準機能(個別実装不要)</t>
        </is>
      </c>
    </row>
    <row r="37"/>
    <row r="38"/>
    <row r="39" ht="17.15" customHeight="1" s="19">
      <c r="A39" s="29" t="inlineStr">
        <is>
          <t>【集計】評価記号ごとの件数(全35項目)</t>
        </is>
      </c>
    </row>
    <row r="40" ht="46.25" customHeight="1" s="19">
      <c r="A40" s="20" t="inlineStr">
        <is>
          <t>評価記号</t>
        </is>
      </c>
      <c r="B40" s="20" t="inlineStr">
        <is>
          <t>意味</t>
        </is>
      </c>
      <c r="C40" s="21" t="inlineStr">
        <is>
          <t>A:専用SaaS</t>
        </is>
      </c>
      <c r="D40" s="21" t="inlineStr">
        <is>
          <t>B:汎用GIS+ローコード</t>
        </is>
      </c>
      <c r="E40" s="21" t="inlineStr">
        <is>
          <t>C-Azure:PowerPlatform</t>
        </is>
      </c>
      <c r="F40" s="21" t="inlineStr">
        <is>
          <t>C-AWS:Amplify+AppSync</t>
        </is>
      </c>
    </row>
    <row r="41" ht="15" customHeight="1" s="19">
      <c r="A41" s="30" t="inlineStr">
        <is>
          <t>◎</t>
        </is>
      </c>
      <c r="B41" s="31" t="inlineStr">
        <is>
          <t>標準機能でそのまま対応</t>
        </is>
      </c>
      <c r="C41" s="32">
        <f>COUNTIF(D2:D36,"◎")</f>
        <v/>
      </c>
      <c r="D41" s="32">
        <f>COUNTIF(F2:F36,"◎")</f>
        <v/>
      </c>
      <c r="E41" s="32">
        <f>COUNTIF(H2:H36,"◎")</f>
        <v/>
      </c>
      <c r="F41" s="32">
        <f>COUNTIF(J2:J36,"◎")</f>
        <v/>
      </c>
    </row>
    <row r="42" ht="15" customHeight="1" s="19">
      <c r="A42" s="30" t="inlineStr">
        <is>
          <t>○</t>
        </is>
      </c>
      <c r="B42" s="31" t="inlineStr">
        <is>
          <t>設定・軽微なカスタマイズ/実装で対応</t>
        </is>
      </c>
      <c r="C42" s="32">
        <f>COUNTIF(D2:D36,"○")</f>
        <v/>
      </c>
      <c r="D42" s="32">
        <f>COUNTIF(F2:F36,"○")</f>
        <v/>
      </c>
      <c r="E42" s="32">
        <f>COUNTIF(H2:H36,"○")</f>
        <v/>
      </c>
      <c r="F42" s="32">
        <f>COUNTIF(J2:J36,"○")</f>
        <v/>
      </c>
    </row>
    <row r="43" ht="15" customHeight="1" s="19">
      <c r="A43" s="30" t="inlineStr">
        <is>
          <t>△</t>
        </is>
      </c>
      <c r="B43" s="31" t="inlineStr">
        <is>
          <t>個別開発・要検証</t>
        </is>
      </c>
      <c r="C43" s="32">
        <f>COUNTIF(D2:D36,"△")</f>
        <v/>
      </c>
      <c r="D43" s="32">
        <f>COUNTIF(F2:F36,"△")</f>
        <v/>
      </c>
      <c r="E43" s="32">
        <f>COUNTIF(H2:H36,"△")</f>
        <v/>
      </c>
      <c r="F43" s="32">
        <f>COUNTIF(J2:J36,"△")</f>
        <v/>
      </c>
    </row>
    <row r="44" ht="15" customHeight="1" s="19">
      <c r="A44" s="30" t="inlineStr">
        <is>
          <t>×</t>
        </is>
      </c>
      <c r="B44" s="31" t="inlineStr">
        <is>
          <t>対応困難</t>
        </is>
      </c>
      <c r="C44" s="32">
        <f>COUNTIF(D2:D36,"×")</f>
        <v/>
      </c>
      <c r="D44" s="32">
        <f>COUNTIF(F2:F36,"×")</f>
        <v/>
      </c>
      <c r="E44" s="32">
        <f>COUNTIF(H2:H36,"×")</f>
        <v/>
      </c>
      <c r="F44" s="32">
        <f>COUNTIF(J2:J36,"×")</f>
        <v/>
      </c>
    </row>
    <row r="45"/>
    <row r="46" ht="15" customHeight="1" s="19">
      <c r="A46" s="33" t="n"/>
      <c r="B46" s="34" t="inlineStr">
        <is>
          <t>カスタマイズ・要開発率 (○+△+×)/35</t>
        </is>
      </c>
      <c r="C46" s="35">
        <f>(COUNTIF(D2:D36,"○")+COUNTIF(D2:D36,"△")+COUNTIF(D2:D36,"×"))/35</f>
        <v/>
      </c>
      <c r="D46" s="35">
        <f>(COUNTIF(F2:F36,"○")+COUNTIF(F2:F36,"△")+COUNTIF(F2:F36,"×"))/35</f>
        <v/>
      </c>
      <c r="E46" s="35">
        <f>(COUNTIF(H2:H36,"○")+COUNTIF(H2:H36,"△")+COUNTIF(H2:H36,"×"))/35</f>
        <v/>
      </c>
      <c r="F46" s="35">
        <f>(COUNTIF(J2:J36,"○")+COUNTIF(J2:J36,"△")+COUNTIF(J2:J36,"×"))/35</f>
        <v/>
      </c>
    </row>
    <row r="47"/>
    <row r="48" ht="45" customHeight="1" s="19">
      <c r="A48" s="36" t="inlineStr">
        <is>
          <t>留意点：Azure(Power Platform+Dataverse)はノーコード/ローコードの業務アプリ基盤であり、セキュリティロール・監査履歴・論理削除・モバイルアプリ生成などが標準機能でカバーされる比率が高い。一方AWS(Amplify+AppSync)は『マネージドインフラの上にフルコードでアプリを書く』サーバーレス構成に近く、運用・スケーリングはマネージドでも、業務ロジック自体はほぼ自前実装になる点が本質的に異なる。</t>
        </is>
      </c>
    </row>
    <row r="49"/>
    <row r="50" ht="30" customHeight="1" s="19">
      <c r="A50" s="36" t="inlineStr">
        <is>
          <t>判断基準：カスタマイズ・要開発率が概ね30%を超える候補は、標準機能での対応余地が小さく、本件のスケジュール(準備期間1か月)・予算(19.5百万円上限)ではリスクが高いと判断する。</t>
        </is>
      </c>
    </row>
  </sheetData>
  <mergeCells count="2">
    <mergeCell ref="A50:K50"/>
    <mergeCell ref="A48:K4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2026-08-27T04:28:05Z</dcterms:created>
  <dcterms:modified xmlns:dcterms="http://purl.org/dc/terms/" xmlns:xsi="http://www.w3.org/2001/XMLSchema-instance" xsi:type="dcterms:W3CDTF">2026-08-28T12:15:05Z</dcterms:modified>
  <cp:revision>0</cp:revision>
</cp:coreProperties>
</file>